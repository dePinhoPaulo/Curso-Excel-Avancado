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8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9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hidePivotFieldList="1"/>
  <mc:AlternateContent xmlns:mc="http://schemas.openxmlformats.org/markup-compatibility/2006">
    <mc:Choice Requires="x15">
      <x15ac:absPath xmlns:x15ac="http://schemas.microsoft.com/office/spreadsheetml/2010/11/ac" url="C:\Users\Kiko\Documents\Projetos Programação\Curso-Excel-Avancado\"/>
    </mc:Choice>
  </mc:AlternateContent>
  <xr:revisionPtr revIDLastSave="0" documentId="13_ncr:1_{97E399BB-2AFB-4CA7-BD77-14D8031EB56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enu" sheetId="1" r:id="rId1"/>
    <sheet name="Despesas Fixas" sheetId="2" r:id="rId2"/>
    <sheet name="Controle Mercadorias" sheetId="6" r:id="rId3"/>
    <sheet name="Investimentos" sheetId="7" r:id="rId4"/>
    <sheet name="Controle de Estoque" sheetId="8" r:id="rId5"/>
    <sheet name="Resultados" sheetId="4" r:id="rId6"/>
    <sheet name="Vendas" sheetId="3" r:id="rId7"/>
    <sheet name="Semana1" sheetId="9" r:id="rId8"/>
    <sheet name="AnaliseSem1" sheetId="14" r:id="rId9"/>
    <sheet name="Semana2" sheetId="10" r:id="rId10"/>
    <sheet name="AnaliseSem2" sheetId="15" r:id="rId11"/>
    <sheet name="Semana3" sheetId="11" r:id="rId12"/>
    <sheet name="AnaliseSem3" sheetId="16" r:id="rId13"/>
    <sheet name="Semana4" sheetId="12" r:id="rId14"/>
    <sheet name="AnaliseSem4" sheetId="17" r:id="rId15"/>
    <sheet name="Semana5" sheetId="13" r:id="rId16"/>
    <sheet name="AnaliseSem5" sheetId="18" r:id="rId17"/>
    <sheet name="cálculos" sheetId="5" state="hidden" r:id="rId18"/>
  </sheets>
  <definedNames>
    <definedName name="_xlnm._FilterDatabase" localSheetId="17" hidden="1">cálculos!$H$2:$K$2</definedName>
    <definedName name="_xlnm._FilterDatabase" localSheetId="3" hidden="1">cálculos!$H$2:$K$2</definedName>
  </definedNames>
  <calcPr calcId="191029"/>
  <pivotCaches>
    <pivotCache cacheId="12" r:id="rId19"/>
    <pivotCache cacheId="21" r:id="rId20"/>
    <pivotCache cacheId="25" r:id="rId21"/>
    <pivotCache cacheId="33" r:id="rId22"/>
    <pivotCache cacheId="32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0" l="1"/>
  <c r="G5" i="10"/>
  <c r="H5" i="10" s="1"/>
  <c r="K5" i="10"/>
  <c r="L5" i="10" l="1"/>
  <c r="M5" i="10" s="1"/>
  <c r="B13" i="13"/>
  <c r="B12" i="13" s="1"/>
  <c r="B11" i="13" s="1"/>
  <c r="B10" i="13" s="1"/>
  <c r="B9" i="13" s="1"/>
  <c r="B8" i="13" s="1"/>
  <c r="B7" i="13" s="1"/>
  <c r="B6" i="13" s="1"/>
  <c r="B5" i="13" s="1"/>
  <c r="F5" i="8" l="1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E16" i="4"/>
  <c r="E12" i="4"/>
  <c r="M17" i="13" a="1"/>
  <c r="M17" i="13" s="1"/>
  <c r="M17" i="12" a="1"/>
  <c r="M17" i="12" s="1"/>
  <c r="M17" i="11" a="1"/>
  <c r="M17" i="11" s="1"/>
  <c r="M18" i="10" a="1"/>
  <c r="M18" i="10" s="1"/>
  <c r="M33" i="9" a="1"/>
  <c r="M33" i="9" s="1"/>
  <c r="D15" i="5" a="1"/>
  <c r="D15" i="5" s="1"/>
  <c r="K13" i="13"/>
  <c r="G13" i="13"/>
  <c r="H13" i="13" s="1"/>
  <c r="E13" i="13"/>
  <c r="K12" i="13"/>
  <c r="G12" i="13"/>
  <c r="H12" i="13" s="1"/>
  <c r="E12" i="13"/>
  <c r="K11" i="13"/>
  <c r="G11" i="13"/>
  <c r="H11" i="13" s="1"/>
  <c r="E11" i="13"/>
  <c r="K10" i="13"/>
  <c r="G10" i="13"/>
  <c r="H10" i="13" s="1"/>
  <c r="E10" i="13"/>
  <c r="K9" i="13"/>
  <c r="G9" i="13"/>
  <c r="H9" i="13" s="1"/>
  <c r="E9" i="13"/>
  <c r="K8" i="13"/>
  <c r="G8" i="13"/>
  <c r="H8" i="13" s="1"/>
  <c r="E8" i="13"/>
  <c r="K7" i="13"/>
  <c r="G7" i="13"/>
  <c r="H7" i="13" s="1"/>
  <c r="E7" i="13"/>
  <c r="K6" i="13"/>
  <c r="G6" i="13"/>
  <c r="H6" i="13" s="1"/>
  <c r="E6" i="13"/>
  <c r="K5" i="13"/>
  <c r="G5" i="13"/>
  <c r="H5" i="13" s="1"/>
  <c r="E5" i="13"/>
  <c r="C15" i="3"/>
  <c r="E6" i="10"/>
  <c r="G6" i="10"/>
  <c r="H6" i="10" s="1"/>
  <c r="K6" i="10"/>
  <c r="E7" i="10"/>
  <c r="E8" i="10"/>
  <c r="E9" i="10"/>
  <c r="E10" i="10"/>
  <c r="E11" i="10"/>
  <c r="E12" i="10"/>
  <c r="E13" i="10"/>
  <c r="E14" i="10"/>
  <c r="G7" i="10"/>
  <c r="H7" i="10" s="1"/>
  <c r="G8" i="10"/>
  <c r="H8" i="10" s="1"/>
  <c r="G9" i="10"/>
  <c r="H9" i="10" s="1"/>
  <c r="G10" i="10"/>
  <c r="H10" i="10" s="1"/>
  <c r="G11" i="10"/>
  <c r="H11" i="10" s="1"/>
  <c r="G12" i="10"/>
  <c r="H12" i="10" s="1"/>
  <c r="G13" i="10"/>
  <c r="H13" i="10" s="1"/>
  <c r="G14" i="10"/>
  <c r="H14" i="10" s="1"/>
  <c r="K7" i="10"/>
  <c r="K8" i="10"/>
  <c r="K9" i="10"/>
  <c r="K10" i="10"/>
  <c r="K11" i="10"/>
  <c r="K12" i="10"/>
  <c r="K13" i="10"/>
  <c r="K14" i="10"/>
  <c r="M9" i="10"/>
  <c r="M10" i="10"/>
  <c r="M11" i="10"/>
  <c r="M12" i="10"/>
  <c r="M13" i="10"/>
  <c r="M14" i="10"/>
  <c r="M6" i="9"/>
  <c r="M7" i="9"/>
  <c r="M11" i="9"/>
  <c r="M13" i="9"/>
  <c r="M14" i="9"/>
  <c r="M15" i="9"/>
  <c r="M19" i="9"/>
  <c r="M20" i="9"/>
  <c r="M23" i="9"/>
  <c r="M27" i="9"/>
  <c r="M28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G14" i="9"/>
  <c r="H14" i="9" s="1"/>
  <c r="G15" i="9"/>
  <c r="H15" i="9" s="1"/>
  <c r="G16" i="9"/>
  <c r="H16" i="9" s="1"/>
  <c r="G17" i="9"/>
  <c r="H17" i="9" s="1"/>
  <c r="G18" i="9"/>
  <c r="H18" i="9" s="1"/>
  <c r="G19" i="9"/>
  <c r="H19" i="9" s="1"/>
  <c r="G20" i="9"/>
  <c r="H20" i="9" s="1"/>
  <c r="G21" i="9"/>
  <c r="H21" i="9" s="1"/>
  <c r="G22" i="9"/>
  <c r="H22" i="9" s="1"/>
  <c r="G23" i="9"/>
  <c r="H23" i="9" s="1"/>
  <c r="G24" i="9"/>
  <c r="H24" i="9" s="1"/>
  <c r="G25" i="9"/>
  <c r="H25" i="9" s="1"/>
  <c r="G26" i="9"/>
  <c r="H26" i="9" s="1"/>
  <c r="G27" i="9"/>
  <c r="H27" i="9" s="1"/>
  <c r="G28" i="9"/>
  <c r="H28" i="9" s="1"/>
  <c r="G29" i="9"/>
  <c r="H29" i="9" s="1"/>
  <c r="M13" i="12"/>
  <c r="K13" i="12"/>
  <c r="G13" i="12"/>
  <c r="H13" i="12" s="1"/>
  <c r="E13" i="12"/>
  <c r="M12" i="12"/>
  <c r="K12" i="12"/>
  <c r="G12" i="12"/>
  <c r="H12" i="12" s="1"/>
  <c r="E12" i="12"/>
  <c r="M11" i="12"/>
  <c r="K11" i="12"/>
  <c r="G11" i="12"/>
  <c r="H11" i="12" s="1"/>
  <c r="E11" i="12"/>
  <c r="M10" i="12"/>
  <c r="K10" i="12"/>
  <c r="G10" i="12"/>
  <c r="H10" i="12" s="1"/>
  <c r="E10" i="12"/>
  <c r="M9" i="12"/>
  <c r="K9" i="12"/>
  <c r="G9" i="12"/>
  <c r="H9" i="12" s="1"/>
  <c r="E9" i="12"/>
  <c r="M8" i="12"/>
  <c r="K8" i="12"/>
  <c r="H8" i="12"/>
  <c r="G8" i="12"/>
  <c r="E8" i="12"/>
  <c r="M7" i="12"/>
  <c r="K7" i="12"/>
  <c r="G7" i="12"/>
  <c r="H7" i="12" s="1"/>
  <c r="E7" i="12"/>
  <c r="K6" i="12"/>
  <c r="G6" i="12"/>
  <c r="H6" i="12" s="1"/>
  <c r="E6" i="12"/>
  <c r="M5" i="12"/>
  <c r="K5" i="12"/>
  <c r="G5" i="12"/>
  <c r="H5" i="12" s="1"/>
  <c r="E5" i="12"/>
  <c r="M13" i="11"/>
  <c r="K13" i="11"/>
  <c r="G13" i="11"/>
  <c r="H13" i="11" s="1"/>
  <c r="E13" i="11"/>
  <c r="M12" i="11"/>
  <c r="K12" i="11"/>
  <c r="G12" i="11"/>
  <c r="H12" i="11" s="1"/>
  <c r="E12" i="11"/>
  <c r="M11" i="11"/>
  <c r="K11" i="11"/>
  <c r="G11" i="11"/>
  <c r="H11" i="11" s="1"/>
  <c r="E11" i="11"/>
  <c r="M10" i="11"/>
  <c r="K10" i="11"/>
  <c r="H10" i="11"/>
  <c r="G10" i="11"/>
  <c r="E10" i="11"/>
  <c r="M9" i="11"/>
  <c r="K9" i="11"/>
  <c r="G9" i="11"/>
  <c r="H9" i="11" s="1"/>
  <c r="E9" i="11"/>
  <c r="M8" i="11"/>
  <c r="K8" i="11"/>
  <c r="G8" i="11"/>
  <c r="H8" i="11" s="1"/>
  <c r="E8" i="11"/>
  <c r="M7" i="11"/>
  <c r="K7" i="11"/>
  <c r="H7" i="11"/>
  <c r="G7" i="11"/>
  <c r="E7" i="11"/>
  <c r="K6" i="11"/>
  <c r="G6" i="11"/>
  <c r="H6" i="11" s="1"/>
  <c r="E6" i="11"/>
  <c r="M5" i="11"/>
  <c r="K5" i="11"/>
  <c r="G5" i="11"/>
  <c r="H5" i="11" s="1"/>
  <c r="E5" i="11"/>
  <c r="M5" i="9"/>
  <c r="E5" i="9"/>
  <c r="E6" i="9"/>
  <c r="E7" i="9"/>
  <c r="E8" i="9"/>
  <c r="E9" i="9"/>
  <c r="E10" i="9"/>
  <c r="E11" i="9"/>
  <c r="E12" i="9"/>
  <c r="E13" i="9"/>
  <c r="G5" i="9"/>
  <c r="G6" i="9"/>
  <c r="G7" i="9"/>
  <c r="G8" i="9"/>
  <c r="G9" i="9"/>
  <c r="G10" i="9"/>
  <c r="G11" i="9"/>
  <c r="G12" i="9"/>
  <c r="G13" i="9"/>
  <c r="L14" i="10" l="1"/>
  <c r="L13" i="10"/>
  <c r="L11" i="10"/>
  <c r="L10" i="10"/>
  <c r="L9" i="10"/>
  <c r="L12" i="10"/>
  <c r="L14" i="9"/>
  <c r="L23" i="9"/>
  <c r="L22" i="9"/>
  <c r="M22" i="9" s="1"/>
  <c r="L20" i="9"/>
  <c r="L19" i="9"/>
  <c r="L18" i="9"/>
  <c r="M18" i="9" s="1"/>
  <c r="L17" i="9"/>
  <c r="M17" i="9" s="1"/>
  <c r="L15" i="9"/>
  <c r="L16" i="9"/>
  <c r="L5" i="13"/>
  <c r="M5" i="13" s="1"/>
  <c r="L8" i="13"/>
  <c r="M8" i="13" s="1"/>
  <c r="L12" i="13"/>
  <c r="M12" i="13" s="1"/>
  <c r="L11" i="11"/>
  <c r="L10" i="12"/>
  <c r="L9" i="13"/>
  <c r="M9" i="13" s="1"/>
  <c r="L13" i="13"/>
  <c r="M13" i="13" s="1"/>
  <c r="L6" i="13"/>
  <c r="M6" i="13" s="1"/>
  <c r="L5" i="11"/>
  <c r="L11" i="13"/>
  <c r="M11" i="13" s="1"/>
  <c r="L10" i="11"/>
  <c r="L5" i="12"/>
  <c r="L9" i="12"/>
  <c r="L13" i="12"/>
  <c r="M16" i="13"/>
  <c r="L7" i="11"/>
  <c r="L10" i="13"/>
  <c r="M10" i="13" s="1"/>
  <c r="L8" i="11"/>
  <c r="L7" i="12"/>
  <c r="L12" i="11"/>
  <c r="L11" i="12"/>
  <c r="L7" i="13"/>
  <c r="M7" i="13" s="1"/>
  <c r="L13" i="11"/>
  <c r="L8" i="12"/>
  <c r="L12" i="12"/>
  <c r="L9" i="11"/>
  <c r="M16" i="11"/>
  <c r="D28" i="3"/>
  <c r="L8" i="10"/>
  <c r="M8" i="10" s="1"/>
  <c r="M17" i="10"/>
  <c r="L7" i="10"/>
  <c r="M7" i="10" s="1"/>
  <c r="D52" i="3" s="1"/>
  <c r="L6" i="10"/>
  <c r="M6" i="10" s="1"/>
  <c r="L28" i="9"/>
  <c r="M32" i="9"/>
  <c r="L25" i="9"/>
  <c r="M25" i="9" s="1"/>
  <c r="L26" i="9"/>
  <c r="M26" i="9" s="1"/>
  <c r="L24" i="9"/>
  <c r="L21" i="9"/>
  <c r="L27" i="9"/>
  <c r="L29" i="9"/>
  <c r="L6" i="12"/>
  <c r="M16" i="12"/>
  <c r="L6" i="11"/>
  <c r="M6" i="12"/>
  <c r="M6" i="11"/>
  <c r="M24" i="9" l="1"/>
  <c r="D53" i="3" s="1"/>
  <c r="M21" i="9"/>
  <c r="M15" i="12"/>
  <c r="D10" i="3" s="1"/>
  <c r="M29" i="9"/>
  <c r="M15" i="13"/>
  <c r="D11" i="3" s="1"/>
  <c r="M15" i="11"/>
  <c r="D9" i="3" s="1"/>
  <c r="M16" i="10"/>
  <c r="D8" i="3" s="1"/>
  <c r="D30" i="3"/>
  <c r="E6" i="4" s="1"/>
  <c r="D54" i="3"/>
  <c r="H7" i="9" l="1"/>
  <c r="L7" i="9" s="1"/>
  <c r="H8" i="9"/>
  <c r="L8" i="9" s="1"/>
  <c r="H9" i="9"/>
  <c r="L9" i="9" s="1"/>
  <c r="M9" i="9" s="1"/>
  <c r="H12" i="9"/>
  <c r="L12" i="9" s="1"/>
  <c r="H13" i="9"/>
  <c r="L13" i="9" s="1"/>
  <c r="M16" i="9" s="1"/>
  <c r="H5" i="9"/>
  <c r="L5" i="9" s="1"/>
  <c r="H6" i="9"/>
  <c r="L6" i="9" s="1"/>
  <c r="H10" i="9"/>
  <c r="L10" i="9" s="1"/>
  <c r="M10" i="9" s="1"/>
  <c r="H11" i="9"/>
  <c r="L11" i="9" s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M12" i="9" l="1"/>
  <c r="D51" i="3" s="1"/>
  <c r="M8" i="9"/>
  <c r="D55" i="3" s="1"/>
  <c r="M31" i="9"/>
  <c r="E5" i="8"/>
  <c r="G5" i="8" s="1"/>
  <c r="H5" i="8" s="1"/>
  <c r="E6" i="8"/>
  <c r="G6" i="8" s="1"/>
  <c r="H6" i="8" s="1"/>
  <c r="E7" i="8"/>
  <c r="G7" i="8" s="1"/>
  <c r="H7" i="8" s="1"/>
  <c r="E8" i="8"/>
  <c r="G8" i="8" s="1"/>
  <c r="H8" i="8" s="1"/>
  <c r="E9" i="8"/>
  <c r="G9" i="8" s="1"/>
  <c r="H9" i="8" s="1"/>
  <c r="E10" i="8"/>
  <c r="G10" i="8" s="1"/>
  <c r="H10" i="8" s="1"/>
  <c r="E11" i="8"/>
  <c r="G11" i="8" s="1"/>
  <c r="H11" i="8" s="1"/>
  <c r="E12" i="8"/>
  <c r="G12" i="8" s="1"/>
  <c r="H12" i="8" s="1"/>
  <c r="E13" i="8"/>
  <c r="G13" i="8" s="1"/>
  <c r="H13" i="8" s="1"/>
  <c r="E14" i="8"/>
  <c r="G14" i="8" s="1"/>
  <c r="H14" i="8" s="1"/>
  <c r="E15" i="8"/>
  <c r="G15" i="8" s="1"/>
  <c r="H15" i="8" s="1"/>
  <c r="E16" i="8"/>
  <c r="G16" i="8" s="1"/>
  <c r="H16" i="8" s="1"/>
  <c r="E17" i="8"/>
  <c r="G17" i="8" s="1"/>
  <c r="H17" i="8" s="1"/>
  <c r="E18" i="8"/>
  <c r="G18" i="8" s="1"/>
  <c r="H18" i="8" s="1"/>
  <c r="E19" i="8"/>
  <c r="G19" i="8" s="1"/>
  <c r="H19" i="8" s="1"/>
  <c r="E20" i="8"/>
  <c r="G20" i="8" s="1"/>
  <c r="H20" i="8" s="1"/>
  <c r="E21" i="8"/>
  <c r="G21" i="8" s="1"/>
  <c r="H21" i="8" s="1"/>
  <c r="E22" i="8"/>
  <c r="G22" i="8" s="1"/>
  <c r="H22" i="8" s="1"/>
  <c r="E23" i="8"/>
  <c r="G23" i="8" s="1"/>
  <c r="H23" i="8" s="1"/>
  <c r="E24" i="8"/>
  <c r="G24" i="8" s="1"/>
  <c r="H24" i="8" s="1"/>
  <c r="E25" i="8"/>
  <c r="G25" i="8" s="1"/>
  <c r="H25" i="8" s="1"/>
  <c r="E26" i="8"/>
  <c r="G26" i="8" s="1"/>
  <c r="H26" i="8" s="1"/>
  <c r="E27" i="8"/>
  <c r="G27" i="8" s="1"/>
  <c r="H27" i="8" s="1"/>
  <c r="E28" i="8"/>
  <c r="G28" i="8" s="1"/>
  <c r="H28" i="8" s="1"/>
  <c r="E11" i="7"/>
  <c r="G5" i="6"/>
  <c r="I5" i="6" s="1"/>
  <c r="G6" i="6"/>
  <c r="I6" i="6" s="1"/>
  <c r="G7" i="6"/>
  <c r="I7" i="6" s="1"/>
  <c r="G8" i="6"/>
  <c r="I8" i="6" s="1"/>
  <c r="G9" i="6"/>
  <c r="I9" i="6" s="1"/>
  <c r="G10" i="6"/>
  <c r="I10" i="6" s="1"/>
  <c r="G11" i="6"/>
  <c r="I11" i="6" s="1"/>
  <c r="G12" i="6"/>
  <c r="I12" i="6" s="1"/>
  <c r="G13" i="6"/>
  <c r="I13" i="6" s="1"/>
  <c r="G14" i="6"/>
  <c r="I14" i="6" s="1"/>
  <c r="G15" i="6"/>
  <c r="G16" i="6"/>
  <c r="I16" i="6" s="1"/>
  <c r="G17" i="6"/>
  <c r="I17" i="6" s="1"/>
  <c r="G18" i="6"/>
  <c r="I18" i="6" s="1"/>
  <c r="G19" i="6"/>
  <c r="I19" i="6" s="1"/>
  <c r="G20" i="6"/>
  <c r="I20" i="6" s="1"/>
  <c r="G21" i="6"/>
  <c r="I21" i="6" s="1"/>
  <c r="G22" i="6"/>
  <c r="I22" i="6" s="1"/>
  <c r="G23" i="6"/>
  <c r="I23" i="6" s="1"/>
  <c r="G24" i="6"/>
  <c r="I24" i="6" s="1"/>
  <c r="G25" i="6"/>
  <c r="I25" i="6" s="1"/>
  <c r="G26" i="6"/>
  <c r="I26" i="6" s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I15" i="6"/>
  <c r="G31" i="2"/>
  <c r="G21" i="2"/>
  <c r="G14" i="2"/>
  <c r="G6" i="2"/>
  <c r="D29" i="3" l="1"/>
  <c r="D7" i="3"/>
  <c r="D15" i="3" s="1"/>
  <c r="E5" i="4" s="1"/>
  <c r="E4" i="4" s="1"/>
  <c r="E7" i="4" s="1"/>
  <c r="E8" i="4" s="1"/>
  <c r="D35" i="3"/>
  <c r="I28" i="6"/>
  <c r="G32" i="2" l="1"/>
  <c r="G33" i="2" s="1"/>
  <c r="E11" i="4"/>
  <c r="E10" i="4" s="1"/>
  <c r="E14" i="4" s="1"/>
  <c r="E20" i="4" s="1"/>
  <c r="E22" i="4" l="1"/>
  <c r="E2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<sst xmlns="http://schemas.openxmlformats.org/spreadsheetml/2006/main" count="424" uniqueCount="155">
  <si>
    <t>Manutenção de Equipamentos</t>
  </si>
  <si>
    <t>Impostos</t>
  </si>
  <si>
    <t>Limpeza</t>
  </si>
  <si>
    <t>Aluguel Loja</t>
  </si>
  <si>
    <t>Seguros</t>
  </si>
  <si>
    <t>Outros</t>
  </si>
  <si>
    <t>Vendas</t>
  </si>
  <si>
    <t>Receita Líquida</t>
  </si>
  <si>
    <t>Salários</t>
  </si>
  <si>
    <t>Bonificações</t>
  </si>
  <si>
    <t>Vales (Refeição, Transporte)</t>
  </si>
  <si>
    <t>Informática</t>
  </si>
  <si>
    <t>Serviços Terceirizados</t>
  </si>
  <si>
    <t>Escritório Contábil</t>
  </si>
  <si>
    <t>Escritório Advocacia</t>
  </si>
  <si>
    <t>Entregas</t>
  </si>
  <si>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</si>
  <si>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</si>
  <si>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</si>
  <si>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</si>
  <si>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</si>
  <si>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</si>
  <si>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</si>
  <si>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</si>
  <si>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</si>
  <si>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</si>
  <si>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</si>
  <si>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</si>
  <si>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</si>
  <si>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</si>
  <si>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</si>
  <si>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</si>
  <si>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</si>
  <si>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</si>
  <si>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</si>
  <si>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</si>
  <si>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</si>
  <si>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</si>
  <si>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Funcionarios</t>
  </si>
  <si>
    <t>Despesas</t>
  </si>
  <si>
    <t>Despesas Funcionamento</t>
  </si>
  <si>
    <t>Intens Despesas</t>
  </si>
  <si>
    <t>Data</t>
  </si>
  <si>
    <t>Observação</t>
  </si>
  <si>
    <t>Valor Intermediario</t>
  </si>
  <si>
    <t>Valor Final</t>
  </si>
  <si>
    <t>Agua</t>
  </si>
  <si>
    <t>Energia</t>
  </si>
  <si>
    <t>Gas</t>
  </si>
  <si>
    <t>Telefone</t>
  </si>
  <si>
    <t>Férias, Licença Maternidade</t>
  </si>
  <si>
    <t>Total de Despesas Funcionamentos</t>
  </si>
  <si>
    <t>Controle Mercadorias</t>
  </si>
  <si>
    <t>Fornecedor</t>
  </si>
  <si>
    <t>Mercadoria</t>
  </si>
  <si>
    <t>Medida</t>
  </si>
  <si>
    <t>Quantidade</t>
  </si>
  <si>
    <t>Preço Unitario</t>
  </si>
  <si>
    <t>Desconto</t>
  </si>
  <si>
    <t>Valor Pago</t>
  </si>
  <si>
    <t>Produtos</t>
  </si>
  <si>
    <t>Preço de Compra Unitário</t>
  </si>
  <si>
    <t>Preço de Venda Unitário</t>
  </si>
  <si>
    <t>Unidade</t>
  </si>
  <si>
    <t>Pacote</t>
  </si>
  <si>
    <t>Kg</t>
  </si>
  <si>
    <t>Leite</t>
  </si>
  <si>
    <t>Litro</t>
  </si>
  <si>
    <t>Lata</t>
  </si>
  <si>
    <t>Barra</t>
  </si>
  <si>
    <t>Maço</t>
  </si>
  <si>
    <t>Pão de Forma</t>
  </si>
  <si>
    <t>Refrigerante</t>
  </si>
  <si>
    <t>Garrafa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</si>
  <si>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</si>
  <si>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</si>
  <si>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</si>
  <si>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</si>
  <si>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</si>
  <si>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</si>
  <si>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</si>
  <si>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</si>
  <si>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</si>
  <si>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</si>
  <si>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t>Total de Compras de Mercadoria</t>
  </si>
  <si>
    <t>Total de Despesas</t>
  </si>
  <si>
    <t>Investimentos</t>
  </si>
  <si>
    <t>Investimento</t>
  </si>
  <si>
    <t>Descrição</t>
  </si>
  <si>
    <t>Valor</t>
  </si>
  <si>
    <t>Investimento Inicial</t>
  </si>
  <si>
    <t>Equipamentos</t>
  </si>
  <si>
    <t>Estrutura</t>
  </si>
  <si>
    <t>Documentação, Sistema de Informação, Estrutura Inicial, Sistema de Refrigeração, Equipamentos (caixas, balanças, carrinhos, etc)</t>
  </si>
  <si>
    <t>Total de Investimento</t>
  </si>
  <si>
    <t>Controle de Estoque</t>
  </si>
  <si>
    <t>Produto</t>
  </si>
  <si>
    <t>Data da última compra</t>
  </si>
  <si>
    <t>Quantidade Inicial</t>
  </si>
  <si>
    <t>Quantidade Comprada</t>
  </si>
  <si>
    <t>Quantidade Vendida</t>
  </si>
  <si>
    <t>Quantidade Atual</t>
  </si>
  <si>
    <t>Situação</t>
  </si>
  <si>
    <t>Vendas Semana 1</t>
  </si>
  <si>
    <t>Id Venda</t>
  </si>
  <si>
    <t>Preco Unitario</t>
  </si>
  <si>
    <t>Subtotal</t>
  </si>
  <si>
    <t xml:space="preserve">Desconto </t>
  </si>
  <si>
    <t>Entrega</t>
  </si>
  <si>
    <t>Valor de Entrega</t>
  </si>
  <si>
    <t>Total</t>
  </si>
  <si>
    <t>Total para Cliente</t>
  </si>
  <si>
    <t>Regiões de Entrega</t>
  </si>
  <si>
    <t>Preço</t>
  </si>
  <si>
    <t>Centro</t>
  </si>
  <si>
    <t>Loja</t>
  </si>
  <si>
    <t>Zona Norte</t>
  </si>
  <si>
    <t>Zona Oeste</t>
  </si>
  <si>
    <t>Zona Sul</t>
  </si>
  <si>
    <t>Receita de Vendas Semana</t>
  </si>
  <si>
    <t>Receita de Entrgas</t>
  </si>
  <si>
    <t>Vendas Semana 2</t>
  </si>
  <si>
    <t>Vendas Semana 3</t>
  </si>
  <si>
    <t>Vendas Semana 4</t>
  </si>
  <si>
    <t>Total de vendas Semana 1</t>
  </si>
  <si>
    <t>Total de vendas Semana 2</t>
  </si>
  <si>
    <t>Total de vendas Semana 3</t>
  </si>
  <si>
    <t>Total de vendas Semana 4</t>
  </si>
  <si>
    <t>Julho</t>
  </si>
  <si>
    <t>Total de vendas Semana 5</t>
  </si>
  <si>
    <t>Vendas Semana 5</t>
  </si>
  <si>
    <t>Vendas Por Entrega (%)</t>
  </si>
  <si>
    <t>Vendas Por Entrega (R$)</t>
  </si>
  <si>
    <t>Receita Entregas (R$)</t>
  </si>
  <si>
    <t>Ticket Medio</t>
  </si>
  <si>
    <t>Numero de Vendas</t>
  </si>
  <si>
    <t>Quantidade Vendas por Região</t>
  </si>
  <si>
    <t>Total de Receitas</t>
  </si>
  <si>
    <t>Receita Mercadorias</t>
  </si>
  <si>
    <t>Receita Entregas</t>
  </si>
  <si>
    <t>Imposto sobre Receita</t>
  </si>
  <si>
    <t>Custo Mercadorias Vendidas</t>
  </si>
  <si>
    <t>Resultado Bruto</t>
  </si>
  <si>
    <t>Depreciação e Amortização</t>
  </si>
  <si>
    <t>Resultado antes de Imposto</t>
  </si>
  <si>
    <t>Imposto</t>
  </si>
  <si>
    <t>Resultado Líquido</t>
  </si>
  <si>
    <t>Resultados</t>
  </si>
  <si>
    <t>Rótulos de Linha</t>
  </si>
  <si>
    <t>Total Geral</t>
  </si>
  <si>
    <t>Soma de Quantidade</t>
  </si>
  <si>
    <t>Soma de Total</t>
  </si>
  <si>
    <t>Soma de Valor de Entrega</t>
  </si>
  <si>
    <t>(vazio)</t>
  </si>
  <si>
    <t>vodka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</si>
</sst>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8"/>
      <name val="Calibri"/>
      <family val="2"/>
      <scheme val="minor"/>
    </font>
    <font>
      <sz val="14"/>
      <color theme="9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indexed="64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/>
      <bottom style="thick">
        <color theme="9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5">
    <xf numFmtId="0" fontId="0" fillId="0" borderId="0" xfId="0"/>
    <xf numFmtId="0" fontId="0" fillId="2" borderId="0" xfId="0" applyFill="1"/>
    <xf numFmtId="0" fontId="4" fillId="2" borderId="0" xfId="0" applyFont="1" applyFill="1"/>
    <xf numFmtId="44" fontId="0" fillId="0" borderId="0" xfId="1" applyFont="1"/>
    <xf numFmtId="0" fontId="5" fillId="0" borderId="0" xfId="0" applyFont="1"/>
    <xf numFmtId="44" fontId="5" fillId="0" borderId="0" xfId="0" applyNumberFormat="1" applyFont="1"/>
    <xf numFmtId="9" fontId="0" fillId="0" borderId="0" xfId="2" applyFont="1"/>
    <xf numFmtId="44" fontId="0" fillId="0" borderId="0" xfId="3" applyFont="1"/>
    <xf numFmtId="0" fontId="2" fillId="0" borderId="0" xfId="0" applyFont="1"/>
    <xf numFmtId="14" fontId="0" fillId="0" borderId="0" xfId="0" applyNumberFormat="1"/>
    <xf numFmtId="0" fontId="3" fillId="0" borderId="1" xfId="0" applyFont="1" applyBorder="1"/>
    <xf numFmtId="44" fontId="3" fillId="0" borderId="1" xfId="0" applyNumberFormat="1" applyFont="1" applyBorder="1"/>
    <xf numFmtId="0" fontId="0" fillId="0" borderId="0" xfId="0" applyAlignment="1">
      <alignment wrapText="1"/>
    </xf>
    <xf numFmtId="0" fontId="4" fillId="3" borderId="0" xfId="0" applyFont="1" applyFill="1"/>
    <xf numFmtId="0" fontId="0" fillId="3" borderId="0" xfId="0" applyFill="1"/>
    <xf numFmtId="0" fontId="6" fillId="0" borderId="0" xfId="0" applyFont="1"/>
    <xf numFmtId="0" fontId="7" fillId="0" borderId="0" xfId="0" applyFont="1"/>
    <xf numFmtId="14" fontId="0" fillId="0" borderId="2" xfId="0" applyNumberFormat="1" applyBorder="1"/>
    <xf numFmtId="0" fontId="3" fillId="0" borderId="0" xfId="0" applyFont="1"/>
    <xf numFmtId="0" fontId="8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0" fillId="0" borderId="0" xfId="0" applyFont="1"/>
    <xf numFmtId="44" fontId="10" fillId="0" borderId="0" xfId="0" applyNumberFormat="1" applyFont="1"/>
    <xf numFmtId="0" fontId="10" fillId="0" borderId="10" xfId="0" applyFont="1" applyBorder="1"/>
    <xf numFmtId="44" fontId="10" fillId="0" borderId="10" xfId="0" applyNumberFormat="1" applyFont="1" applyBorder="1"/>
    <xf numFmtId="0" fontId="10" fillId="0" borderId="12" xfId="0" applyFont="1" applyBorder="1"/>
    <xf numFmtId="44" fontId="10" fillId="0" borderId="12" xfId="0" applyNumberFormat="1" applyFont="1" applyBorder="1"/>
    <xf numFmtId="0" fontId="10" fillId="0" borderId="5" xfId="0" applyFont="1" applyBorder="1"/>
    <xf numFmtId="44" fontId="10" fillId="0" borderId="5" xfId="0" applyNumberFormat="1" applyFont="1" applyBorder="1"/>
    <xf numFmtId="0" fontId="8" fillId="0" borderId="13" xfId="0" applyFont="1" applyBorder="1" applyAlignment="1">
      <alignment horizontal="right"/>
    </xf>
    <xf numFmtId="0" fontId="6" fillId="0" borderId="10" xfId="0" applyFont="1" applyBorder="1"/>
    <xf numFmtId="0" fontId="7" fillId="0" borderId="10" xfId="0" applyFont="1" applyBorder="1"/>
    <xf numFmtId="44" fontId="6" fillId="0" borderId="10" xfId="1" applyFont="1" applyBorder="1"/>
    <xf numFmtId="0" fontId="6" fillId="0" borderId="12" xfId="0" applyFont="1" applyBorder="1"/>
    <xf numFmtId="0" fontId="7" fillId="0" borderId="12" xfId="0" applyFont="1" applyBorder="1"/>
    <xf numFmtId="44" fontId="6" fillId="0" borderId="12" xfId="1" applyFont="1" applyBorder="1"/>
    <xf numFmtId="0" fontId="6" fillId="0" borderId="0" xfId="1" applyNumberFormat="1" applyFont="1" applyBorder="1"/>
    <xf numFmtId="44" fontId="6" fillId="0" borderId="0" xfId="0" applyNumberFormat="1" applyFont="1"/>
    <xf numFmtId="9" fontId="10" fillId="0" borderId="10" xfId="2" applyFont="1" applyBorder="1"/>
    <xf numFmtId="0" fontId="10" fillId="0" borderId="10" xfId="2" applyNumberFormat="1" applyFont="1" applyBorder="1"/>
    <xf numFmtId="0" fontId="11" fillId="0" borderId="3" xfId="0" applyFont="1" applyBorder="1"/>
    <xf numFmtId="0" fontId="11" fillId="0" borderId="0" xfId="0" applyFont="1"/>
    <xf numFmtId="0" fontId="11" fillId="0" borderId="14" xfId="0" applyFont="1" applyBorder="1"/>
    <xf numFmtId="44" fontId="11" fillId="0" borderId="3" xfId="1" applyFont="1" applyBorder="1"/>
    <xf numFmtId="0" fontId="11" fillId="0" borderId="15" xfId="0" applyFont="1" applyBorder="1"/>
    <xf numFmtId="44" fontId="11" fillId="0" borderId="15" xfId="1" applyFont="1" applyBorder="1"/>
    <xf numFmtId="44" fontId="11" fillId="0" borderId="0" xfId="1" applyFont="1"/>
    <xf numFmtId="0" fontId="11" fillId="0" borderId="16" xfId="0" applyFont="1" applyBorder="1"/>
    <xf numFmtId="44" fontId="11" fillId="0" borderId="16" xfId="1" applyFont="1" applyBorder="1"/>
    <xf numFmtId="0" fontId="11" fillId="0" borderId="17" xfId="0" applyFont="1" applyBorder="1"/>
    <xf numFmtId="44" fontId="11" fillId="0" borderId="17" xfId="1" applyFont="1" applyBorder="1"/>
    <xf numFmtId="44" fontId="11" fillId="0" borderId="14" xfId="1" applyFont="1" applyBorder="1"/>
    <xf numFmtId="0" fontId="0" fillId="0" borderId="0" xfId="0" applyNumberFormat="1"/>
    <xf numFmtId="44" fontId="0" fillId="0" borderId="0" xfId="1" applyNumberFormat="1" applyFont="1"/>
    <xf numFmtId="0" fontId="0" fillId="0" borderId="0" xfId="0" pivotButton="1"/>
    <xf numFmtId="14" fontId="0" fillId="0" borderId="0" xfId="0" applyNumberFormat="1" applyAlignment="1">
      <alignment horizontal="left"/>
    </xf>
    <xf numFmtId="44" fontId="0" fillId="0" borderId="0" xfId="0" applyNumberFormat="1"/>
    <xf numFmtId="0" fontId="0" fillId="0" borderId="0" xfId="0" applyAlignment="1">
      <alignment horizontal="left"/>
    </xf>
  </cellXfs>
  <cellStyles count="5">
    <cellStyle name="Moeda" xfId="1" builtinId="4"/>
    <cellStyle name="Moeda 2" xfId="3" xr:uid="{F17225F2-D97A-45E0-A9E2-EF50D337959A}"/>
    <cellStyle name="Moeda 3" xfId="4" xr:uid="{C84296A3-CC64-4FEC-AA96-19F53E02469F}"/>
    <cellStyle name="Normal" xfId="0" builtinId="0"/>
    <cellStyle name="Porcentagem" xfId="2" builtinId="5"/>
  </cellStyles>
  <dxfs count="4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3300"/>
        </patternFill>
      </fill>
    </dxf>
    <dxf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Vendas!$C$7:$C$11</c:f>
              <c:strCache>
                <c:ptCount val="5"/>
                <c:pt idx="0">
                  <c:v>Total de vendas Semana 1</c:v>
                </c:pt>
                <c:pt idx="1">
                  <c:v>Total de vendas Semana 2</c:v>
                </c:pt>
                <c:pt idx="2">
                  <c:v>Total de vendas Semana 3</c:v>
                </c:pt>
                <c:pt idx="3">
                  <c:v>Total de vendas Semana 4</c:v>
                </c:pt>
                <c:pt idx="4">
                  <c:v>Total de vendas Semana 5</c:v>
                </c:pt>
              </c:strCache>
            </c:strRef>
          </c:cat>
          <c:val>
            <c:numRef>
              <c:f>Vendas!$D$7:$D$11</c:f>
              <c:numCache>
                <c:formatCode>_("R$"* #,##0.00_);_("R$"* \(#,##0.00\);_("R$"* "-"??_);_(@_)</c:formatCode>
                <c:ptCount val="5"/>
                <c:pt idx="0">
                  <c:v>670.52500000000009</c:v>
                </c:pt>
                <c:pt idx="1">
                  <c:v>194.358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B-40EC-8EA5-CE4801B89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971062591"/>
        <c:axId val="971056351"/>
      </c:barChart>
      <c:catAx>
        <c:axId val="971062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1056351"/>
        <c:crosses val="autoZero"/>
        <c:auto val="1"/>
        <c:lblAlgn val="ctr"/>
        <c:lblOffset val="100"/>
        <c:noMultiLvlLbl val="0"/>
      </c:catAx>
      <c:valAx>
        <c:axId val="97105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1062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Vendas!$C$29:$C$30</c:f>
              <c:strCache>
                <c:ptCount val="2"/>
                <c:pt idx="0">
                  <c:v>Vendas Por Entrega (R$)</c:v>
                </c:pt>
                <c:pt idx="1">
                  <c:v>Receita Entregas (R$)</c:v>
                </c:pt>
              </c:strCache>
            </c:strRef>
          </c:cat>
          <c:val>
            <c:numRef>
              <c:f>Vendas!$D$29:$D$30</c:f>
              <c:numCache>
                <c:formatCode>_("R$"* #,##0.00_);_("R$"* \(#,##0.00\);_("R$"* "-"??_);_(@_)</c:formatCode>
                <c:ptCount val="2"/>
                <c:pt idx="0">
                  <c:v>538.49300000000005</c:v>
                </c:pt>
                <c:pt idx="1">
                  <c:v>61.5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F4-480D-BE1B-DBF93930F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113592895"/>
        <c:axId val="1113600095"/>
      </c:barChart>
      <c:catAx>
        <c:axId val="11135928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3600095"/>
        <c:crosses val="autoZero"/>
        <c:auto val="1"/>
        <c:lblAlgn val="ctr"/>
        <c:lblOffset val="100"/>
        <c:noMultiLvlLbl val="0"/>
      </c:catAx>
      <c:valAx>
        <c:axId val="1113600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3592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4-459F-87E2-C5708A24FB1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4-459F-87E2-C5708A24FB1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4-459F-87E2-C5708A24FB1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4-459F-87E2-C5708A24FB1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4-459F-87E2-C5708A24FB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Vendas!$C$51:$C$55</c:f>
              <c:strCache>
                <c:ptCount val="5"/>
                <c:pt idx="0">
                  <c:v>Loja</c:v>
                </c:pt>
                <c:pt idx="1">
                  <c:v>Centro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Vendas!$D$51:$D$55</c:f>
              <c:numCache>
                <c:formatCode>General</c:formatCode>
                <c:ptCount val="5"/>
                <c:pt idx="0">
                  <c:v>8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2-44CD-AC4B-E2C342D7E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7" Type="http://schemas.openxmlformats.org/officeDocument/2006/relationships/hyperlink" Target="#'Controle de Estoque'!A1"/><Relationship Id="rId2" Type="http://schemas.openxmlformats.org/officeDocument/2006/relationships/hyperlink" Target="#Resultados!A1"/><Relationship Id="rId1" Type="http://schemas.openxmlformats.org/officeDocument/2006/relationships/image" Target="../media/image1.png"/><Relationship Id="rId6" Type="http://schemas.openxmlformats.org/officeDocument/2006/relationships/hyperlink" Target="#'Controle Mercadorias'!A1"/><Relationship Id="rId5" Type="http://schemas.openxmlformats.org/officeDocument/2006/relationships/hyperlink" Target="#'Despesas Fixas'!A1"/><Relationship Id="rId4" Type="http://schemas.openxmlformats.org/officeDocument/2006/relationships/hyperlink" Target="#Investiment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2" Type="http://schemas.openxmlformats.org/officeDocument/2006/relationships/hyperlink" Target="#'Controle Mercadorias'!A1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Despesas Fixas'!A1"/><Relationship Id="rId2" Type="http://schemas.openxmlformats.org/officeDocument/2006/relationships/hyperlink" Target="#'Controle de Estoque'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Semana2!A1"/><Relationship Id="rId3" Type="http://schemas.openxmlformats.org/officeDocument/2006/relationships/chart" Target="../charts/chart3.xml"/><Relationship Id="rId7" Type="http://schemas.openxmlformats.org/officeDocument/2006/relationships/hyperlink" Target="#Semana1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'Despesas Fixas'!A1"/><Relationship Id="rId11" Type="http://schemas.openxmlformats.org/officeDocument/2006/relationships/hyperlink" Target="#Semana4!A1"/><Relationship Id="rId5" Type="http://schemas.openxmlformats.org/officeDocument/2006/relationships/hyperlink" Target="#Vendas!B70"/><Relationship Id="rId10" Type="http://schemas.openxmlformats.org/officeDocument/2006/relationships/hyperlink" Target="#Semana5!A1"/><Relationship Id="rId4" Type="http://schemas.openxmlformats.org/officeDocument/2006/relationships/hyperlink" Target="#Menu!A1"/><Relationship Id="rId9" Type="http://schemas.openxmlformats.org/officeDocument/2006/relationships/hyperlink" Target="#Semana3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Semana1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Semana2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Semana3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Semana4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Semana5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35</xdr:col>
      <xdr:colOff>492516</xdr:colOff>
      <xdr:row>35</xdr:row>
      <xdr:rowOff>121920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F099C632-2BDC-4C9C-A289-62B0F92002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828516" cy="6522720"/>
        </a:xfrm>
        <a:prstGeom prst="rect">
          <a:avLst/>
        </a:prstGeom>
      </xdr:spPr>
    </xdr:pic>
    <xdr:clientData/>
  </xdr:twoCellAnchor>
  <xdr:twoCellAnchor>
    <xdr:from>
      <xdr:col>11</xdr:col>
      <xdr:colOff>10668</xdr:colOff>
      <xdr:row>16</xdr:row>
      <xdr:rowOff>60960</xdr:rowOff>
    </xdr:from>
    <xdr:to>
      <xdr:col>14</xdr:col>
      <xdr:colOff>18288</xdr:colOff>
      <xdr:row>20</xdr:row>
      <xdr:rowOff>22860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BA4EFAC-1DE9-A1FB-B326-9A5C987C809A}"/>
            </a:ext>
          </a:extLst>
        </xdr:cNvPr>
        <xdr:cNvSpPr/>
      </xdr:nvSpPr>
      <xdr:spPr>
        <a:xfrm>
          <a:off x="6716268" y="2987040"/>
          <a:ext cx="1836420" cy="69342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Investimentos</a:t>
          </a:r>
        </a:p>
      </xdr:txBody>
    </xdr:sp>
    <xdr:clientData/>
  </xdr:twoCellAnchor>
  <xdr:twoCellAnchor>
    <xdr:from>
      <xdr:col>4</xdr:col>
      <xdr:colOff>211836</xdr:colOff>
      <xdr:row>16</xdr:row>
      <xdr:rowOff>60960</xdr:rowOff>
    </xdr:from>
    <xdr:to>
      <xdr:col>7</xdr:col>
      <xdr:colOff>219456</xdr:colOff>
      <xdr:row>20</xdr:row>
      <xdr:rowOff>22860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5216FA08-6D97-4C2E-B0CD-C14BF0DEB281}"/>
            </a:ext>
          </a:extLst>
        </xdr:cNvPr>
        <xdr:cNvSpPr/>
      </xdr:nvSpPr>
      <xdr:spPr>
        <a:xfrm>
          <a:off x="2650236" y="2987040"/>
          <a:ext cx="1836420" cy="69342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Despesas Fixas</a:t>
          </a:r>
        </a:p>
      </xdr:txBody>
    </xdr:sp>
    <xdr:clientData/>
  </xdr:twoCellAnchor>
  <xdr:twoCellAnchor>
    <xdr:from>
      <xdr:col>17</xdr:col>
      <xdr:colOff>419100</xdr:colOff>
      <xdr:row>16</xdr:row>
      <xdr:rowOff>60960</xdr:rowOff>
    </xdr:from>
    <xdr:to>
      <xdr:col>20</xdr:col>
      <xdr:colOff>426720</xdr:colOff>
      <xdr:row>20</xdr:row>
      <xdr:rowOff>22860</xdr:rowOff>
    </xdr:to>
    <xdr:sp macro="" textlink="">
      <xdr:nvSpPr>
        <xdr:cNvPr id="10" name="Retângulo: Cantos Arredondados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63FF3B9-1361-4BCC-9422-0BB39D144CAE}"/>
            </a:ext>
          </a:extLst>
        </xdr:cNvPr>
        <xdr:cNvSpPr/>
      </xdr:nvSpPr>
      <xdr:spPr>
        <a:xfrm>
          <a:off x="10782300" y="2987040"/>
          <a:ext cx="1836420" cy="69342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accent1"/>
                </a:solidFill>
              </a:ln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Resultados</a:t>
          </a:r>
        </a:p>
      </xdr:txBody>
    </xdr:sp>
    <xdr:clientData/>
  </xdr:twoCellAnchor>
  <xdr:twoCellAnchor>
    <xdr:from>
      <xdr:col>7</xdr:col>
      <xdr:colOff>416052</xdr:colOff>
      <xdr:row>16</xdr:row>
      <xdr:rowOff>60960</xdr:rowOff>
    </xdr:from>
    <xdr:to>
      <xdr:col>10</xdr:col>
      <xdr:colOff>423672</xdr:colOff>
      <xdr:row>20</xdr:row>
      <xdr:rowOff>22860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A86C915-CC13-453C-A320-9DD0B02D1DCF}"/>
            </a:ext>
          </a:extLst>
        </xdr:cNvPr>
        <xdr:cNvSpPr/>
      </xdr:nvSpPr>
      <xdr:spPr>
        <a:xfrm>
          <a:off x="4683252" y="2987040"/>
          <a:ext cx="1836420" cy="69342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Compras Mercadorias</a:t>
          </a:r>
        </a:p>
      </xdr:txBody>
    </xdr:sp>
    <xdr:clientData/>
  </xdr:twoCellAnchor>
  <xdr:twoCellAnchor>
    <xdr:from>
      <xdr:col>14</xdr:col>
      <xdr:colOff>214580</xdr:colOff>
      <xdr:row>16</xdr:row>
      <xdr:rowOff>60960</xdr:rowOff>
    </xdr:from>
    <xdr:to>
      <xdr:col>17</xdr:col>
      <xdr:colOff>222200</xdr:colOff>
      <xdr:row>20</xdr:row>
      <xdr:rowOff>22860</xdr:rowOff>
    </xdr:to>
    <xdr:sp macro="" textlink="">
      <xdr:nvSpPr>
        <xdr:cNvPr id="13" name="Retângulo: Cantos Arredondados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81AD77C-7EF2-43C6-93D1-EA57D14CBA81}"/>
            </a:ext>
          </a:extLst>
        </xdr:cNvPr>
        <xdr:cNvSpPr/>
      </xdr:nvSpPr>
      <xdr:spPr>
        <a:xfrm>
          <a:off x="8748980" y="2987040"/>
          <a:ext cx="1836420" cy="69342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accent1"/>
                </a:solidFill>
              </a:ln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Vendas</a:t>
          </a:r>
        </a:p>
      </xdr:txBody>
    </xdr:sp>
    <xdr:clientData/>
  </xdr:twoCellAnchor>
  <xdr:twoCellAnchor>
    <xdr:from>
      <xdr:col>0</xdr:col>
      <xdr:colOff>592836</xdr:colOff>
      <xdr:row>16</xdr:row>
      <xdr:rowOff>68580</xdr:rowOff>
    </xdr:from>
    <xdr:to>
      <xdr:col>3</xdr:col>
      <xdr:colOff>600456</xdr:colOff>
      <xdr:row>20</xdr:row>
      <xdr:rowOff>30480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DEAC73B-ECD3-4F92-BE14-A58A02FDB3B9}"/>
            </a:ext>
          </a:extLst>
        </xdr:cNvPr>
        <xdr:cNvSpPr/>
      </xdr:nvSpPr>
      <xdr:spPr>
        <a:xfrm>
          <a:off x="592836" y="2994660"/>
          <a:ext cx="1836420" cy="69342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pt-BR" sz="1100" b="0">
              <a:solidFill>
                <a:schemeClr val="accen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Controle de Estoque</a:t>
          </a:r>
          <a:endParaRPr lang="pt-BR">
            <a:solidFill>
              <a:schemeClr val="accent1"/>
            </a:solidFill>
            <a:effectLst/>
          </a:endParaRPr>
        </a:p>
      </xdr:txBody>
    </xdr:sp>
    <xdr:clientData/>
  </xdr:twoCellAnchor>
  <xdr:twoCellAnchor>
    <xdr:from>
      <xdr:col>11</xdr:col>
      <xdr:colOff>10059</xdr:colOff>
      <xdr:row>16</xdr:row>
      <xdr:rowOff>60960</xdr:rowOff>
    </xdr:from>
    <xdr:to>
      <xdr:col>14</xdr:col>
      <xdr:colOff>17679</xdr:colOff>
      <xdr:row>20</xdr:row>
      <xdr:rowOff>22860</xdr:rowOff>
    </xdr:to>
    <xdr:sp macro="" textlink="">
      <xdr:nvSpPr>
        <xdr:cNvPr id="29" name="Retângulo: Cantos Arredondados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97B19AD-F072-C711-70C4-9A0B209322C0}"/>
            </a:ext>
          </a:extLst>
        </xdr:cNvPr>
        <xdr:cNvSpPr/>
      </xdr:nvSpPr>
      <xdr:spPr>
        <a:xfrm>
          <a:off x="6715659" y="2987040"/>
          <a:ext cx="1836420" cy="69342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accent1"/>
                </a:solidFill>
              </a:ln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Investimentos</a:t>
          </a:r>
        </a:p>
      </xdr:txBody>
    </xdr:sp>
    <xdr:clientData/>
  </xdr:twoCellAnchor>
  <xdr:twoCellAnchor>
    <xdr:from>
      <xdr:col>4</xdr:col>
      <xdr:colOff>210617</xdr:colOff>
      <xdr:row>16</xdr:row>
      <xdr:rowOff>60960</xdr:rowOff>
    </xdr:from>
    <xdr:to>
      <xdr:col>7</xdr:col>
      <xdr:colOff>218237</xdr:colOff>
      <xdr:row>20</xdr:row>
      <xdr:rowOff>22860</xdr:rowOff>
    </xdr:to>
    <xdr:sp macro="" textlink="">
      <xdr:nvSpPr>
        <xdr:cNvPr id="30" name="Retângulo: Cantos Arredondados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FB09B29-F506-3394-B11C-BDD994B9C03C}"/>
            </a:ext>
          </a:extLst>
        </xdr:cNvPr>
        <xdr:cNvSpPr/>
      </xdr:nvSpPr>
      <xdr:spPr>
        <a:xfrm>
          <a:off x="2649017" y="2987040"/>
          <a:ext cx="1836420" cy="69342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accent1"/>
                </a:solidFill>
              </a:ln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Despesas Fixas</a:t>
          </a:r>
        </a:p>
      </xdr:txBody>
    </xdr:sp>
    <xdr:clientData/>
  </xdr:twoCellAnchor>
  <xdr:twoCellAnchor>
    <xdr:from>
      <xdr:col>7</xdr:col>
      <xdr:colOff>415138</xdr:colOff>
      <xdr:row>16</xdr:row>
      <xdr:rowOff>60960</xdr:rowOff>
    </xdr:from>
    <xdr:to>
      <xdr:col>10</xdr:col>
      <xdr:colOff>422758</xdr:colOff>
      <xdr:row>20</xdr:row>
      <xdr:rowOff>22860</xdr:rowOff>
    </xdr:to>
    <xdr:sp macro="" textlink="">
      <xdr:nvSpPr>
        <xdr:cNvPr id="31" name="Retângulo: Cantos Arredondados 3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C7B1192-2CD6-A3DA-8856-C3EE66584B39}"/>
            </a:ext>
          </a:extLst>
        </xdr:cNvPr>
        <xdr:cNvSpPr/>
      </xdr:nvSpPr>
      <xdr:spPr>
        <a:xfrm>
          <a:off x="4682338" y="2987040"/>
          <a:ext cx="1836420" cy="69342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accent1"/>
                </a:solidFill>
              </a:ln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Compras Mercadorias</a:t>
          </a:r>
        </a:p>
      </xdr:txBody>
    </xdr:sp>
    <xdr:clientData/>
  </xdr:twoCellAnchor>
  <xdr:twoCellAnchor>
    <xdr:from>
      <xdr:col>1</xdr:col>
      <xdr:colOff>6096</xdr:colOff>
      <xdr:row>16</xdr:row>
      <xdr:rowOff>60960</xdr:rowOff>
    </xdr:from>
    <xdr:to>
      <xdr:col>4</xdr:col>
      <xdr:colOff>13716</xdr:colOff>
      <xdr:row>20</xdr:row>
      <xdr:rowOff>22860</xdr:rowOff>
    </xdr:to>
    <xdr:sp macro="" textlink="">
      <xdr:nvSpPr>
        <xdr:cNvPr id="32" name="Retângulo: Cantos Arredondados 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12C8FF5-191D-2F9C-62AD-4D47CA7CB44C}"/>
            </a:ext>
          </a:extLst>
        </xdr:cNvPr>
        <xdr:cNvSpPr/>
      </xdr:nvSpPr>
      <xdr:spPr>
        <a:xfrm>
          <a:off x="615696" y="2987040"/>
          <a:ext cx="1836420" cy="69342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accent1"/>
                </a:solidFill>
              </a:ln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Controle de Estoque</a:t>
          </a:r>
          <a:endParaRPr lang="pt-BR" b="0" cap="none" spc="0">
            <a:ln w="0">
              <a:solidFill>
                <a:schemeClr val="accent1"/>
              </a:solidFill>
            </a:ln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312420</xdr:colOff>
      <xdr:row>1</xdr:row>
      <xdr:rowOff>22860</xdr:rowOff>
    </xdr:from>
    <xdr:to>
      <xdr:col>6</xdr:col>
      <xdr:colOff>1325880</xdr:colOff>
      <xdr:row>1</xdr:row>
      <xdr:rowOff>243840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06415C-D5D1-A866-3A03-56111884509D}"/>
            </a:ext>
          </a:extLst>
        </xdr:cNvPr>
        <xdr:cNvSpPr/>
      </xdr:nvSpPr>
      <xdr:spPr>
        <a:xfrm>
          <a:off x="9715500" y="205740"/>
          <a:ext cx="101346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4</xdr:col>
      <xdr:colOff>662940</xdr:colOff>
      <xdr:row>1</xdr:row>
      <xdr:rowOff>22860</xdr:rowOff>
    </xdr:from>
    <xdr:to>
      <xdr:col>5</xdr:col>
      <xdr:colOff>708660</xdr:colOff>
      <xdr:row>1</xdr:row>
      <xdr:rowOff>243840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9F1A7-FD9D-4CDA-AE68-83A89956D00D}"/>
            </a:ext>
          </a:extLst>
        </xdr:cNvPr>
        <xdr:cNvSpPr/>
      </xdr:nvSpPr>
      <xdr:spPr>
        <a:xfrm>
          <a:off x="6896100" y="205740"/>
          <a:ext cx="169164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Compras Mercadorias</a:t>
          </a:r>
        </a:p>
      </xdr:txBody>
    </xdr:sp>
    <xdr:clientData/>
  </xdr:twoCellAnchor>
  <xdr:twoCellAnchor>
    <xdr:from>
      <xdr:col>5</xdr:col>
      <xdr:colOff>762000</xdr:colOff>
      <xdr:row>1</xdr:row>
      <xdr:rowOff>22860</xdr:rowOff>
    </xdr:from>
    <xdr:to>
      <xdr:col>6</xdr:col>
      <xdr:colOff>251460</xdr:colOff>
      <xdr:row>1</xdr:row>
      <xdr:rowOff>243840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269457F-2744-47A0-83A8-7D76434A4E7A}"/>
            </a:ext>
          </a:extLst>
        </xdr:cNvPr>
        <xdr:cNvSpPr/>
      </xdr:nvSpPr>
      <xdr:spPr>
        <a:xfrm>
          <a:off x="8641080" y="205740"/>
          <a:ext cx="101346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137160</xdr:colOff>
      <xdr:row>1</xdr:row>
      <xdr:rowOff>22860</xdr:rowOff>
    </xdr:from>
    <xdr:to>
      <xdr:col>8</xdr:col>
      <xdr:colOff>1150620</xdr:colOff>
      <xdr:row>1</xdr:row>
      <xdr:rowOff>243840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9728A4-C62F-41FE-AFB6-7C007FF15B8B}"/>
            </a:ext>
          </a:extLst>
        </xdr:cNvPr>
        <xdr:cNvSpPr/>
      </xdr:nvSpPr>
      <xdr:spPr>
        <a:xfrm>
          <a:off x="8900160" y="205740"/>
          <a:ext cx="101346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5</xdr:col>
      <xdr:colOff>662940</xdr:colOff>
      <xdr:row>1</xdr:row>
      <xdr:rowOff>22860</xdr:rowOff>
    </xdr:from>
    <xdr:to>
      <xdr:col>6</xdr:col>
      <xdr:colOff>1203960</xdr:colOff>
      <xdr:row>1</xdr:row>
      <xdr:rowOff>243840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7AC1C2-B52B-4E08-A3D3-1CEF8B6C38A4}"/>
            </a:ext>
          </a:extLst>
        </xdr:cNvPr>
        <xdr:cNvSpPr/>
      </xdr:nvSpPr>
      <xdr:spPr>
        <a:xfrm>
          <a:off x="6080760" y="205740"/>
          <a:ext cx="169164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Controle de Estoque</a:t>
          </a:r>
        </a:p>
      </xdr:txBody>
    </xdr:sp>
    <xdr:clientData/>
  </xdr:twoCellAnchor>
  <xdr:twoCellAnchor>
    <xdr:from>
      <xdr:col>7</xdr:col>
      <xdr:colOff>22860</xdr:colOff>
      <xdr:row>1</xdr:row>
      <xdr:rowOff>22860</xdr:rowOff>
    </xdr:from>
    <xdr:to>
      <xdr:col>8</xdr:col>
      <xdr:colOff>76200</xdr:colOff>
      <xdr:row>1</xdr:row>
      <xdr:rowOff>243840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983F2D-5E93-4A33-A84D-B43AB546A518}"/>
            </a:ext>
          </a:extLst>
        </xdr:cNvPr>
        <xdr:cNvSpPr/>
      </xdr:nvSpPr>
      <xdr:spPr>
        <a:xfrm>
          <a:off x="7825740" y="205740"/>
          <a:ext cx="101346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9</xdr:col>
      <xdr:colOff>480060</xdr:colOff>
      <xdr:row>3</xdr:row>
      <xdr:rowOff>30480</xdr:rowOff>
    </xdr:from>
    <xdr:to>
      <xdr:col>12</xdr:col>
      <xdr:colOff>342900</xdr:colOff>
      <xdr:row>5</xdr:row>
      <xdr:rowOff>99060</xdr:rowOff>
    </xdr:to>
    <xdr:sp macro="[0]!AdicionarCompra" textlink="">
      <xdr:nvSpPr>
        <xdr:cNvPr id="5" name="Retângulo 4">
          <a:extLst>
            <a:ext uri="{FF2B5EF4-FFF2-40B4-BE49-F238E27FC236}">
              <a16:creationId xmlns:a16="http://schemas.microsoft.com/office/drawing/2014/main" id="{4385A3A1-7898-4864-9163-196F23DB1327}"/>
            </a:ext>
          </a:extLst>
        </xdr:cNvPr>
        <xdr:cNvSpPr/>
      </xdr:nvSpPr>
      <xdr:spPr>
        <a:xfrm>
          <a:off x="10401300" y="861060"/>
          <a:ext cx="1691640" cy="434340"/>
        </a:xfrm>
        <a:prstGeom prst="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Inserir Compra</a:t>
          </a:r>
          <a:endParaRPr lang="pt-BR" sz="1100"/>
        </a:p>
      </xdr:txBody>
    </xdr:sp>
    <xdr:clientData/>
  </xdr:twoCellAnchor>
  <xdr:twoCellAnchor>
    <xdr:from>
      <xdr:col>9</xdr:col>
      <xdr:colOff>487680</xdr:colOff>
      <xdr:row>6</xdr:row>
      <xdr:rowOff>53340</xdr:rowOff>
    </xdr:from>
    <xdr:to>
      <xdr:col>12</xdr:col>
      <xdr:colOff>350520</xdr:colOff>
      <xdr:row>8</xdr:row>
      <xdr:rowOff>121920</xdr:rowOff>
    </xdr:to>
    <xdr:sp macro="[0]!ExcluirCompra" textlink="">
      <xdr:nvSpPr>
        <xdr:cNvPr id="6" name="Retângulo 5">
          <a:extLst>
            <a:ext uri="{FF2B5EF4-FFF2-40B4-BE49-F238E27FC236}">
              <a16:creationId xmlns:a16="http://schemas.microsoft.com/office/drawing/2014/main" id="{39867EA6-E144-4251-95EF-344CCF0578E6}"/>
            </a:ext>
          </a:extLst>
        </xdr:cNvPr>
        <xdr:cNvSpPr/>
      </xdr:nvSpPr>
      <xdr:spPr>
        <a:xfrm>
          <a:off x="10408920" y="1432560"/>
          <a:ext cx="1691640" cy="434340"/>
        </a:xfrm>
        <a:prstGeom prst="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Excluir Compra</a:t>
          </a:r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335280</xdr:colOff>
      <xdr:row>1</xdr:row>
      <xdr:rowOff>22860</xdr:rowOff>
    </xdr:from>
    <xdr:to>
      <xdr:col>5</xdr:col>
      <xdr:colOff>15240</xdr:colOff>
      <xdr:row>1</xdr:row>
      <xdr:rowOff>243840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1D1002-E313-421D-A5DA-1DB85386D608}"/>
            </a:ext>
          </a:extLst>
        </xdr:cNvPr>
        <xdr:cNvSpPr/>
      </xdr:nvSpPr>
      <xdr:spPr>
        <a:xfrm>
          <a:off x="7879080" y="205740"/>
          <a:ext cx="101346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891540</xdr:colOff>
      <xdr:row>1</xdr:row>
      <xdr:rowOff>22860</xdr:rowOff>
    </xdr:from>
    <xdr:to>
      <xdr:col>7</xdr:col>
      <xdr:colOff>662940</xdr:colOff>
      <xdr:row>1</xdr:row>
      <xdr:rowOff>243840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BB8C95-4890-449C-A5F6-61AEC6F11915}"/>
            </a:ext>
          </a:extLst>
        </xdr:cNvPr>
        <xdr:cNvSpPr/>
      </xdr:nvSpPr>
      <xdr:spPr>
        <a:xfrm>
          <a:off x="9083040" y="205740"/>
          <a:ext cx="101346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434340</xdr:colOff>
      <xdr:row>1</xdr:row>
      <xdr:rowOff>22860</xdr:rowOff>
    </xdr:from>
    <xdr:to>
      <xdr:col>5</xdr:col>
      <xdr:colOff>22860</xdr:colOff>
      <xdr:row>1</xdr:row>
      <xdr:rowOff>243840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9DC00B-BCB3-4934-B118-0A7ADAD9F790}"/>
            </a:ext>
          </a:extLst>
        </xdr:cNvPr>
        <xdr:cNvSpPr/>
      </xdr:nvSpPr>
      <xdr:spPr>
        <a:xfrm>
          <a:off x="6911340" y="205740"/>
          <a:ext cx="101346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1257300</xdr:colOff>
      <xdr:row>5</xdr:row>
      <xdr:rowOff>133350</xdr:rowOff>
    </xdr:from>
    <xdr:to>
      <xdr:col>9</xdr:col>
      <xdr:colOff>906780</xdr:colOff>
      <xdr:row>22</xdr:row>
      <xdr:rowOff>41910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7C7E67F-1EDB-3F69-5CA0-E78A517DDD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205740</xdr:colOff>
      <xdr:row>25</xdr:row>
      <xdr:rowOff>133350</xdr:rowOff>
    </xdr:from>
    <xdr:to>
      <xdr:col>10</xdr:col>
      <xdr:colOff>586740</xdr:colOff>
      <xdr:row>40</xdr:row>
      <xdr:rowOff>60960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099BAA8-DCD4-751D-A1D3-E32DD10331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1089660</xdr:colOff>
      <xdr:row>43</xdr:row>
      <xdr:rowOff>175260</xdr:rowOff>
    </xdr:from>
    <xdr:to>
      <xdr:col>9</xdr:col>
      <xdr:colOff>883920</xdr:colOff>
      <xdr:row>57</xdr:row>
      <xdr:rowOff>22860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FEDF49A-9388-F4F8-87B0-CCA5FF111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304800</xdr:colOff>
      <xdr:row>1</xdr:row>
      <xdr:rowOff>22860</xdr:rowOff>
    </xdr:from>
    <xdr:to>
      <xdr:col>11</xdr:col>
      <xdr:colOff>7620</xdr:colOff>
      <xdr:row>1</xdr:row>
      <xdr:rowOff>243840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9743A1C-1776-424F-9639-01EBF854AAAD}"/>
            </a:ext>
          </a:extLst>
        </xdr:cNvPr>
        <xdr:cNvSpPr/>
      </xdr:nvSpPr>
      <xdr:spPr>
        <a:xfrm>
          <a:off x="12443460" y="205740"/>
          <a:ext cx="101346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8</xdr:col>
      <xdr:colOff>106680</xdr:colOff>
      <xdr:row>1</xdr:row>
      <xdr:rowOff>22860</xdr:rowOff>
    </xdr:from>
    <xdr:to>
      <xdr:col>9</xdr:col>
      <xdr:colOff>487680</xdr:colOff>
      <xdr:row>1</xdr:row>
      <xdr:rowOff>243840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E1124C7-46EA-412B-B416-7728AA3BE86D}"/>
            </a:ext>
          </a:extLst>
        </xdr:cNvPr>
        <xdr:cNvSpPr/>
      </xdr:nvSpPr>
      <xdr:spPr>
        <a:xfrm>
          <a:off x="9624060" y="205740"/>
          <a:ext cx="169164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Ir para Semanas</a:t>
          </a:r>
        </a:p>
      </xdr:txBody>
    </xdr:sp>
    <xdr:clientData/>
  </xdr:twoCellAnchor>
  <xdr:twoCellAnchor>
    <xdr:from>
      <xdr:col>9</xdr:col>
      <xdr:colOff>541020</xdr:colOff>
      <xdr:row>1</xdr:row>
      <xdr:rowOff>22860</xdr:rowOff>
    </xdr:from>
    <xdr:to>
      <xdr:col>10</xdr:col>
      <xdr:colOff>243840</xdr:colOff>
      <xdr:row>1</xdr:row>
      <xdr:rowOff>243840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6D6A804-D926-4CCD-84D9-1380E6B01966}"/>
            </a:ext>
          </a:extLst>
        </xdr:cNvPr>
        <xdr:cNvSpPr/>
      </xdr:nvSpPr>
      <xdr:spPr>
        <a:xfrm>
          <a:off x="11369040" y="205740"/>
          <a:ext cx="101346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  <xdr:twoCellAnchor>
    <xdr:from>
      <xdr:col>2</xdr:col>
      <xdr:colOff>1082040</xdr:colOff>
      <xdr:row>59</xdr:row>
      <xdr:rowOff>7620</xdr:rowOff>
    </xdr:from>
    <xdr:to>
      <xdr:col>3</xdr:col>
      <xdr:colOff>548640</xdr:colOff>
      <xdr:row>60</xdr:row>
      <xdr:rowOff>121920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0B189A-0069-4031-82F1-9BA305A6B7EE}"/>
            </a:ext>
          </a:extLst>
        </xdr:cNvPr>
        <xdr:cNvSpPr/>
      </xdr:nvSpPr>
      <xdr:spPr>
        <a:xfrm>
          <a:off x="2956560" y="12176760"/>
          <a:ext cx="13944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Semana</a:t>
          </a:r>
          <a:r>
            <a:rPr lang="pt-BR" sz="1100" baseline="0"/>
            <a:t> 1</a:t>
          </a:r>
        </a:p>
      </xdr:txBody>
    </xdr:sp>
    <xdr:clientData/>
  </xdr:twoCellAnchor>
  <xdr:twoCellAnchor>
    <xdr:from>
      <xdr:col>3</xdr:col>
      <xdr:colOff>670560</xdr:colOff>
      <xdr:row>59</xdr:row>
      <xdr:rowOff>7620</xdr:rowOff>
    </xdr:from>
    <xdr:to>
      <xdr:col>4</xdr:col>
      <xdr:colOff>929640</xdr:colOff>
      <xdr:row>60</xdr:row>
      <xdr:rowOff>121920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EF1592C-2C17-4383-B49F-8CAB07414554}"/>
            </a:ext>
          </a:extLst>
        </xdr:cNvPr>
        <xdr:cNvSpPr/>
      </xdr:nvSpPr>
      <xdr:spPr>
        <a:xfrm>
          <a:off x="4472940" y="12176760"/>
          <a:ext cx="13944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Semana</a:t>
          </a:r>
          <a:r>
            <a:rPr lang="pt-BR" sz="1100" baseline="0"/>
            <a:t> 2</a:t>
          </a:r>
        </a:p>
      </xdr:txBody>
    </xdr:sp>
    <xdr:clientData/>
  </xdr:twoCellAnchor>
  <xdr:twoCellAnchor>
    <xdr:from>
      <xdr:col>4</xdr:col>
      <xdr:colOff>1051560</xdr:colOff>
      <xdr:row>59</xdr:row>
      <xdr:rowOff>7620</xdr:rowOff>
    </xdr:from>
    <xdr:to>
      <xdr:col>6</xdr:col>
      <xdr:colOff>76200</xdr:colOff>
      <xdr:row>60</xdr:row>
      <xdr:rowOff>121920</xdr:rowOff>
    </xdr:to>
    <xdr:sp macro="" textlink="">
      <xdr:nvSpPr>
        <xdr:cNvPr id="15" name="Retângul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974EDE2-C106-4112-9FA8-A7A1FD0C9395}"/>
            </a:ext>
          </a:extLst>
        </xdr:cNvPr>
        <xdr:cNvSpPr/>
      </xdr:nvSpPr>
      <xdr:spPr>
        <a:xfrm>
          <a:off x="5989320" y="12176760"/>
          <a:ext cx="13944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Semana</a:t>
          </a:r>
          <a:r>
            <a:rPr lang="pt-BR" sz="1100" baseline="0"/>
            <a:t> 3</a:t>
          </a:r>
        </a:p>
      </xdr:txBody>
    </xdr:sp>
    <xdr:clientData/>
  </xdr:twoCellAnchor>
  <xdr:twoCellAnchor>
    <xdr:from>
      <xdr:col>7</xdr:col>
      <xdr:colOff>609600</xdr:colOff>
      <xdr:row>59</xdr:row>
      <xdr:rowOff>7620</xdr:rowOff>
    </xdr:from>
    <xdr:to>
      <xdr:col>8</xdr:col>
      <xdr:colOff>899160</xdr:colOff>
      <xdr:row>60</xdr:row>
      <xdr:rowOff>121920</xdr:rowOff>
    </xdr:to>
    <xdr:sp macro="" textlink="">
      <xdr:nvSpPr>
        <xdr:cNvPr id="16" name="Retângulo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47A7C94-21B5-49A8-B56C-9EC28FAA9225}"/>
            </a:ext>
          </a:extLst>
        </xdr:cNvPr>
        <xdr:cNvSpPr/>
      </xdr:nvSpPr>
      <xdr:spPr>
        <a:xfrm>
          <a:off x="9022080" y="12176760"/>
          <a:ext cx="13944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Semana</a:t>
          </a:r>
          <a:r>
            <a:rPr lang="pt-BR" sz="1100" baseline="0"/>
            <a:t> 5</a:t>
          </a:r>
        </a:p>
      </xdr:txBody>
    </xdr:sp>
    <xdr:clientData/>
  </xdr:twoCellAnchor>
  <xdr:twoCellAnchor>
    <xdr:from>
      <xdr:col>6</xdr:col>
      <xdr:colOff>198120</xdr:colOff>
      <xdr:row>59</xdr:row>
      <xdr:rowOff>7620</xdr:rowOff>
    </xdr:from>
    <xdr:to>
      <xdr:col>7</xdr:col>
      <xdr:colOff>487680</xdr:colOff>
      <xdr:row>60</xdr:row>
      <xdr:rowOff>121920</xdr:rowOff>
    </xdr:to>
    <xdr:sp macro="" textlink="">
      <xdr:nvSpPr>
        <xdr:cNvPr id="17" name="Retângulo 1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B600692-1A5B-4D26-8C79-DF179B3CC2D8}"/>
            </a:ext>
          </a:extLst>
        </xdr:cNvPr>
        <xdr:cNvSpPr/>
      </xdr:nvSpPr>
      <xdr:spPr>
        <a:xfrm>
          <a:off x="7505700" y="12176760"/>
          <a:ext cx="13944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Semana</a:t>
          </a:r>
          <a:r>
            <a:rPr lang="pt-BR" sz="1100" baseline="0"/>
            <a:t> 4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198120</xdr:colOff>
      <xdr:row>1</xdr:row>
      <xdr:rowOff>22860</xdr:rowOff>
    </xdr:from>
    <xdr:to>
      <xdr:col>12</xdr:col>
      <xdr:colOff>1211580</xdr:colOff>
      <xdr:row>1</xdr:row>
      <xdr:rowOff>243840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23EEE-0270-4746-80B0-B8E5B29D2DB7}"/>
            </a:ext>
          </a:extLst>
        </xdr:cNvPr>
        <xdr:cNvSpPr/>
      </xdr:nvSpPr>
      <xdr:spPr>
        <a:xfrm>
          <a:off x="10949940" y="205740"/>
          <a:ext cx="101346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1173480</xdr:colOff>
      <xdr:row>1</xdr:row>
      <xdr:rowOff>22860</xdr:rowOff>
    </xdr:from>
    <xdr:to>
      <xdr:col>12</xdr:col>
      <xdr:colOff>137160</xdr:colOff>
      <xdr:row>1</xdr:row>
      <xdr:rowOff>243840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45C27BE-AFD1-4299-97FF-A0BBDA759352}"/>
            </a:ext>
          </a:extLst>
        </xdr:cNvPr>
        <xdr:cNvSpPr/>
      </xdr:nvSpPr>
      <xdr:spPr>
        <a:xfrm>
          <a:off x="9875520" y="205740"/>
          <a:ext cx="101346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13</xdr:col>
      <xdr:colOff>228600</xdr:colOff>
      <xdr:row>3</xdr:row>
      <xdr:rowOff>15240</xdr:rowOff>
    </xdr:from>
    <xdr:to>
      <xdr:col>16</xdr:col>
      <xdr:colOff>91440</xdr:colOff>
      <xdr:row>5</xdr:row>
      <xdr:rowOff>83820</xdr:rowOff>
    </xdr:to>
    <xdr:sp macro="[0]!NovaVenda" textlink="">
      <xdr:nvSpPr>
        <xdr:cNvPr id="4" name="Retângulo 3">
          <a:extLst>
            <a:ext uri="{FF2B5EF4-FFF2-40B4-BE49-F238E27FC236}">
              <a16:creationId xmlns:a16="http://schemas.microsoft.com/office/drawing/2014/main" id="{7ABA2D74-F43B-47AF-AC9D-8DF742DAAF45}"/>
            </a:ext>
          </a:extLst>
        </xdr:cNvPr>
        <xdr:cNvSpPr/>
      </xdr:nvSpPr>
      <xdr:spPr>
        <a:xfrm>
          <a:off x="11399520" y="845820"/>
          <a:ext cx="1691640" cy="43434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</a:t>
          </a:r>
          <a:r>
            <a:rPr lang="pt-BR" sz="1100" baseline="0"/>
            <a:t> Venda</a:t>
          </a:r>
          <a:endParaRPr lang="pt-BR" sz="1100"/>
        </a:p>
      </xdr:txBody>
    </xdr:sp>
    <xdr:clientData/>
  </xdr:twoCellAnchor>
  <xdr:twoCellAnchor>
    <xdr:from>
      <xdr:col>13</xdr:col>
      <xdr:colOff>228600</xdr:colOff>
      <xdr:row>6</xdr:row>
      <xdr:rowOff>19050</xdr:rowOff>
    </xdr:from>
    <xdr:to>
      <xdr:col>16</xdr:col>
      <xdr:colOff>91440</xdr:colOff>
      <xdr:row>8</xdr:row>
      <xdr:rowOff>87630</xdr:rowOff>
    </xdr:to>
    <xdr:sp macro="[0]!AdicionarProduto" textlink="">
      <xdr:nvSpPr>
        <xdr:cNvPr id="5" name="Retângulo 4">
          <a:extLst>
            <a:ext uri="{FF2B5EF4-FFF2-40B4-BE49-F238E27FC236}">
              <a16:creationId xmlns:a16="http://schemas.microsoft.com/office/drawing/2014/main" id="{2E97FA86-CE47-402B-9BA6-719DF9D2E751}"/>
            </a:ext>
          </a:extLst>
        </xdr:cNvPr>
        <xdr:cNvSpPr/>
      </xdr:nvSpPr>
      <xdr:spPr>
        <a:xfrm>
          <a:off x="11399520" y="1398270"/>
          <a:ext cx="1691640" cy="43434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 Produto</a:t>
          </a:r>
        </a:p>
      </xdr:txBody>
    </xdr:sp>
    <xdr:clientData/>
  </xdr:twoCellAnchor>
  <xdr:twoCellAnchor>
    <xdr:from>
      <xdr:col>13</xdr:col>
      <xdr:colOff>228600</xdr:colOff>
      <xdr:row>9</xdr:row>
      <xdr:rowOff>22860</xdr:rowOff>
    </xdr:from>
    <xdr:to>
      <xdr:col>16</xdr:col>
      <xdr:colOff>91440</xdr:colOff>
      <xdr:row>11</xdr:row>
      <xdr:rowOff>91440</xdr:rowOff>
    </xdr:to>
    <xdr:sp macro="[0]!ExcluirProduto" textlink="">
      <xdr:nvSpPr>
        <xdr:cNvPr id="6" name="Retângulo 5">
          <a:extLst>
            <a:ext uri="{FF2B5EF4-FFF2-40B4-BE49-F238E27FC236}">
              <a16:creationId xmlns:a16="http://schemas.microsoft.com/office/drawing/2014/main" id="{FD177EAE-4592-4BB6-A676-F925CA63E971}"/>
            </a:ext>
          </a:extLst>
        </xdr:cNvPr>
        <xdr:cNvSpPr/>
      </xdr:nvSpPr>
      <xdr:spPr>
        <a:xfrm>
          <a:off x="11399520" y="1950720"/>
          <a:ext cx="1691640" cy="43434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Produto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53340</xdr:colOff>
      <xdr:row>0</xdr:row>
      <xdr:rowOff>38100</xdr:rowOff>
    </xdr:from>
    <xdr:to>
      <xdr:col>11</xdr:col>
      <xdr:colOff>228600</xdr:colOff>
      <xdr:row>1</xdr:row>
      <xdr:rowOff>152400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9FE103-54A1-44CC-8DAD-D46F37D44579}"/>
            </a:ext>
          </a:extLst>
        </xdr:cNvPr>
        <xdr:cNvSpPr/>
      </xdr:nvSpPr>
      <xdr:spPr>
        <a:xfrm>
          <a:off x="10119360" y="38100"/>
          <a:ext cx="13944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Semana</a:t>
          </a:r>
          <a:r>
            <a:rPr lang="pt-BR" sz="1100" baseline="0"/>
            <a:t> 1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205740</xdr:colOff>
      <xdr:row>1</xdr:row>
      <xdr:rowOff>30480</xdr:rowOff>
    </xdr:from>
    <xdr:to>
      <xdr:col>12</xdr:col>
      <xdr:colOff>1219200</xdr:colOff>
      <xdr:row>1</xdr:row>
      <xdr:rowOff>251460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184E5D-0DD4-4541-B6E2-482B02ACE3E9}"/>
            </a:ext>
          </a:extLst>
        </xdr:cNvPr>
        <xdr:cNvSpPr/>
      </xdr:nvSpPr>
      <xdr:spPr>
        <a:xfrm>
          <a:off x="10637520" y="213360"/>
          <a:ext cx="101346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11</xdr:col>
      <xdr:colOff>0</xdr:colOff>
      <xdr:row>1</xdr:row>
      <xdr:rowOff>30480</xdr:rowOff>
    </xdr:from>
    <xdr:to>
      <xdr:col>12</xdr:col>
      <xdr:colOff>144780</xdr:colOff>
      <xdr:row>1</xdr:row>
      <xdr:rowOff>251460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F203B46-8C51-46D7-BB3D-7DBA63012A56}"/>
            </a:ext>
          </a:extLst>
        </xdr:cNvPr>
        <xdr:cNvSpPr/>
      </xdr:nvSpPr>
      <xdr:spPr>
        <a:xfrm>
          <a:off x="9563100" y="213360"/>
          <a:ext cx="101346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13</xdr:col>
      <xdr:colOff>144780</xdr:colOff>
      <xdr:row>3</xdr:row>
      <xdr:rowOff>7620</xdr:rowOff>
    </xdr:from>
    <xdr:to>
      <xdr:col>16</xdr:col>
      <xdr:colOff>7620</xdr:colOff>
      <xdr:row>5</xdr:row>
      <xdr:rowOff>76200</xdr:rowOff>
    </xdr:to>
    <xdr:sp macro="[0]!NovaVenda" textlink="">
      <xdr:nvSpPr>
        <xdr:cNvPr id="7" name="Retângulo 6">
          <a:extLst>
            <a:ext uri="{FF2B5EF4-FFF2-40B4-BE49-F238E27FC236}">
              <a16:creationId xmlns:a16="http://schemas.microsoft.com/office/drawing/2014/main" id="{0811188E-0696-4FBC-B936-1B29D4D4F539}"/>
            </a:ext>
          </a:extLst>
        </xdr:cNvPr>
        <xdr:cNvSpPr/>
      </xdr:nvSpPr>
      <xdr:spPr>
        <a:xfrm>
          <a:off x="10980420" y="838200"/>
          <a:ext cx="1691640" cy="43434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</a:t>
          </a:r>
          <a:r>
            <a:rPr lang="pt-BR" sz="1100" baseline="0"/>
            <a:t> Venda</a:t>
          </a:r>
          <a:endParaRPr lang="pt-BR" sz="1100"/>
        </a:p>
      </xdr:txBody>
    </xdr:sp>
    <xdr:clientData/>
  </xdr:twoCellAnchor>
  <xdr:twoCellAnchor>
    <xdr:from>
      <xdr:col>13</xdr:col>
      <xdr:colOff>144780</xdr:colOff>
      <xdr:row>6</xdr:row>
      <xdr:rowOff>11430</xdr:rowOff>
    </xdr:from>
    <xdr:to>
      <xdr:col>16</xdr:col>
      <xdr:colOff>7620</xdr:colOff>
      <xdr:row>8</xdr:row>
      <xdr:rowOff>80010</xdr:rowOff>
    </xdr:to>
    <xdr:sp macro="[0]!AdicionarProduto" textlink="">
      <xdr:nvSpPr>
        <xdr:cNvPr id="8" name="Retângulo 7">
          <a:extLst>
            <a:ext uri="{FF2B5EF4-FFF2-40B4-BE49-F238E27FC236}">
              <a16:creationId xmlns:a16="http://schemas.microsoft.com/office/drawing/2014/main" id="{75952B5D-9033-4781-91CC-416761901C9B}"/>
            </a:ext>
          </a:extLst>
        </xdr:cNvPr>
        <xdr:cNvSpPr/>
      </xdr:nvSpPr>
      <xdr:spPr>
        <a:xfrm>
          <a:off x="10980420" y="1390650"/>
          <a:ext cx="1691640" cy="43434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 Produto</a:t>
          </a:r>
        </a:p>
      </xdr:txBody>
    </xdr:sp>
    <xdr:clientData/>
  </xdr:twoCellAnchor>
  <xdr:twoCellAnchor>
    <xdr:from>
      <xdr:col>13</xdr:col>
      <xdr:colOff>144780</xdr:colOff>
      <xdr:row>9</xdr:row>
      <xdr:rowOff>15240</xdr:rowOff>
    </xdr:from>
    <xdr:to>
      <xdr:col>16</xdr:col>
      <xdr:colOff>7620</xdr:colOff>
      <xdr:row>11</xdr:row>
      <xdr:rowOff>83820</xdr:rowOff>
    </xdr:to>
    <xdr:sp macro="[0]!ExcluirProduto" textlink="">
      <xdr:nvSpPr>
        <xdr:cNvPr id="9" name="Retângulo 8">
          <a:extLst>
            <a:ext uri="{FF2B5EF4-FFF2-40B4-BE49-F238E27FC236}">
              <a16:creationId xmlns:a16="http://schemas.microsoft.com/office/drawing/2014/main" id="{B94CBA06-DD05-4D4A-BD72-C6770F2DCF8C}"/>
            </a:ext>
          </a:extLst>
        </xdr:cNvPr>
        <xdr:cNvSpPr/>
      </xdr:nvSpPr>
      <xdr:spPr>
        <a:xfrm>
          <a:off x="10980420" y="1943100"/>
          <a:ext cx="1691640" cy="43434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Produto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0</xdr:row>
      <xdr:rowOff>30480</xdr:rowOff>
    </xdr:from>
    <xdr:to>
      <xdr:col>11</xdr:col>
      <xdr:colOff>213360</xdr:colOff>
      <xdr:row>1</xdr:row>
      <xdr:rowOff>144780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5D0B87-8582-4496-B5D2-88905CC15A20}"/>
            </a:ext>
          </a:extLst>
        </xdr:cNvPr>
        <xdr:cNvSpPr/>
      </xdr:nvSpPr>
      <xdr:spPr>
        <a:xfrm>
          <a:off x="10104120" y="30480"/>
          <a:ext cx="13944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Semana</a:t>
          </a:r>
          <a:r>
            <a:rPr lang="pt-BR" sz="1100" baseline="0"/>
            <a:t> 2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220980</xdr:colOff>
      <xdr:row>1</xdr:row>
      <xdr:rowOff>30480</xdr:rowOff>
    </xdr:from>
    <xdr:to>
      <xdr:col>13</xdr:col>
      <xdr:colOff>0</xdr:colOff>
      <xdr:row>1</xdr:row>
      <xdr:rowOff>251460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C1E158-A7A7-4441-9F7E-FD06BD51FC67}"/>
            </a:ext>
          </a:extLst>
        </xdr:cNvPr>
        <xdr:cNvSpPr/>
      </xdr:nvSpPr>
      <xdr:spPr>
        <a:xfrm>
          <a:off x="10652760" y="213360"/>
          <a:ext cx="101346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11</xdr:col>
      <xdr:colOff>15240</xdr:colOff>
      <xdr:row>1</xdr:row>
      <xdr:rowOff>30480</xdr:rowOff>
    </xdr:from>
    <xdr:to>
      <xdr:col>12</xdr:col>
      <xdr:colOff>160020</xdr:colOff>
      <xdr:row>1</xdr:row>
      <xdr:rowOff>251460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A9B0295-6036-4DAC-AD46-EEEA8CBA0F75}"/>
            </a:ext>
          </a:extLst>
        </xdr:cNvPr>
        <xdr:cNvSpPr/>
      </xdr:nvSpPr>
      <xdr:spPr>
        <a:xfrm>
          <a:off x="9578340" y="213360"/>
          <a:ext cx="101346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13</xdr:col>
      <xdr:colOff>251460</xdr:colOff>
      <xdr:row>3</xdr:row>
      <xdr:rowOff>22860</xdr:rowOff>
    </xdr:from>
    <xdr:to>
      <xdr:col>16</xdr:col>
      <xdr:colOff>114300</xdr:colOff>
      <xdr:row>5</xdr:row>
      <xdr:rowOff>91440</xdr:rowOff>
    </xdr:to>
    <xdr:sp macro="[0]!NovaVenda" textlink="">
      <xdr:nvSpPr>
        <xdr:cNvPr id="7" name="Retângulo 6">
          <a:extLst>
            <a:ext uri="{FF2B5EF4-FFF2-40B4-BE49-F238E27FC236}">
              <a16:creationId xmlns:a16="http://schemas.microsoft.com/office/drawing/2014/main" id="{E7D3AFF1-7599-41D3-8634-76E39801742B}"/>
            </a:ext>
          </a:extLst>
        </xdr:cNvPr>
        <xdr:cNvSpPr/>
      </xdr:nvSpPr>
      <xdr:spPr>
        <a:xfrm>
          <a:off x="11079480" y="853440"/>
          <a:ext cx="1691640" cy="43434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</a:t>
          </a:r>
          <a:r>
            <a:rPr lang="pt-BR" sz="1100" baseline="0"/>
            <a:t> Venda</a:t>
          </a:r>
          <a:endParaRPr lang="pt-BR" sz="1100"/>
        </a:p>
      </xdr:txBody>
    </xdr:sp>
    <xdr:clientData/>
  </xdr:twoCellAnchor>
  <xdr:twoCellAnchor>
    <xdr:from>
      <xdr:col>13</xdr:col>
      <xdr:colOff>251460</xdr:colOff>
      <xdr:row>6</xdr:row>
      <xdr:rowOff>26670</xdr:rowOff>
    </xdr:from>
    <xdr:to>
      <xdr:col>16</xdr:col>
      <xdr:colOff>114300</xdr:colOff>
      <xdr:row>8</xdr:row>
      <xdr:rowOff>95250</xdr:rowOff>
    </xdr:to>
    <xdr:sp macro="[0]!AdicionarProduto" textlink="">
      <xdr:nvSpPr>
        <xdr:cNvPr id="8" name="Retângulo 7">
          <a:extLst>
            <a:ext uri="{FF2B5EF4-FFF2-40B4-BE49-F238E27FC236}">
              <a16:creationId xmlns:a16="http://schemas.microsoft.com/office/drawing/2014/main" id="{E0B864F0-6940-4C75-8B41-5D981815EF13}"/>
            </a:ext>
          </a:extLst>
        </xdr:cNvPr>
        <xdr:cNvSpPr/>
      </xdr:nvSpPr>
      <xdr:spPr>
        <a:xfrm>
          <a:off x="11079480" y="1405890"/>
          <a:ext cx="1691640" cy="43434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 Produto</a:t>
          </a:r>
        </a:p>
      </xdr:txBody>
    </xdr:sp>
    <xdr:clientData/>
  </xdr:twoCellAnchor>
  <xdr:twoCellAnchor>
    <xdr:from>
      <xdr:col>13</xdr:col>
      <xdr:colOff>251460</xdr:colOff>
      <xdr:row>9</xdr:row>
      <xdr:rowOff>30480</xdr:rowOff>
    </xdr:from>
    <xdr:to>
      <xdr:col>16</xdr:col>
      <xdr:colOff>114300</xdr:colOff>
      <xdr:row>11</xdr:row>
      <xdr:rowOff>99060</xdr:rowOff>
    </xdr:to>
    <xdr:sp macro="[0]!ExcluirProduto" textlink="">
      <xdr:nvSpPr>
        <xdr:cNvPr id="9" name="Retângulo 8">
          <a:extLst>
            <a:ext uri="{FF2B5EF4-FFF2-40B4-BE49-F238E27FC236}">
              <a16:creationId xmlns:a16="http://schemas.microsoft.com/office/drawing/2014/main" id="{CD80739A-7B21-4011-8B9C-265EC533CF2E}"/>
            </a:ext>
          </a:extLst>
        </xdr:cNvPr>
        <xdr:cNvSpPr/>
      </xdr:nvSpPr>
      <xdr:spPr>
        <a:xfrm>
          <a:off x="11079480" y="1958340"/>
          <a:ext cx="1691640" cy="43434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Produto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53340</xdr:colOff>
      <xdr:row>0</xdr:row>
      <xdr:rowOff>30480</xdr:rowOff>
    </xdr:from>
    <xdr:to>
      <xdr:col>11</xdr:col>
      <xdr:colOff>228600</xdr:colOff>
      <xdr:row>1</xdr:row>
      <xdr:rowOff>144780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A139A7-4559-445C-8DEE-775C91079181}"/>
            </a:ext>
          </a:extLst>
        </xdr:cNvPr>
        <xdr:cNvSpPr/>
      </xdr:nvSpPr>
      <xdr:spPr>
        <a:xfrm>
          <a:off x="10119360" y="30480"/>
          <a:ext cx="13944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Semana</a:t>
          </a:r>
          <a:r>
            <a:rPr lang="pt-BR" sz="1100" baseline="0"/>
            <a:t> 3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220980</xdr:colOff>
      <xdr:row>1</xdr:row>
      <xdr:rowOff>30480</xdr:rowOff>
    </xdr:from>
    <xdr:to>
      <xdr:col>13</xdr:col>
      <xdr:colOff>0</xdr:colOff>
      <xdr:row>1</xdr:row>
      <xdr:rowOff>251460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C94949-CD44-4DF7-82FE-B95F7C9295C5}"/>
            </a:ext>
          </a:extLst>
        </xdr:cNvPr>
        <xdr:cNvSpPr/>
      </xdr:nvSpPr>
      <xdr:spPr>
        <a:xfrm>
          <a:off x="10652760" y="213360"/>
          <a:ext cx="101346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11</xdr:col>
      <xdr:colOff>15240</xdr:colOff>
      <xdr:row>1</xdr:row>
      <xdr:rowOff>30480</xdr:rowOff>
    </xdr:from>
    <xdr:to>
      <xdr:col>12</xdr:col>
      <xdr:colOff>160020</xdr:colOff>
      <xdr:row>1</xdr:row>
      <xdr:rowOff>251460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50C7378-92FB-4135-9452-D1C430CA1266}"/>
            </a:ext>
          </a:extLst>
        </xdr:cNvPr>
        <xdr:cNvSpPr/>
      </xdr:nvSpPr>
      <xdr:spPr>
        <a:xfrm>
          <a:off x="9578340" y="213360"/>
          <a:ext cx="101346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13</xdr:col>
      <xdr:colOff>259080</xdr:colOff>
      <xdr:row>3</xdr:row>
      <xdr:rowOff>7620</xdr:rowOff>
    </xdr:from>
    <xdr:to>
      <xdr:col>16</xdr:col>
      <xdr:colOff>121920</xdr:colOff>
      <xdr:row>5</xdr:row>
      <xdr:rowOff>76200</xdr:rowOff>
    </xdr:to>
    <xdr:sp macro="[0]!NovaVenda" textlink="">
      <xdr:nvSpPr>
        <xdr:cNvPr id="7" name="Retângulo 6">
          <a:extLst>
            <a:ext uri="{FF2B5EF4-FFF2-40B4-BE49-F238E27FC236}">
              <a16:creationId xmlns:a16="http://schemas.microsoft.com/office/drawing/2014/main" id="{0EDF9454-59B8-4441-A3C8-EDBC4532FD4C}"/>
            </a:ext>
          </a:extLst>
        </xdr:cNvPr>
        <xdr:cNvSpPr/>
      </xdr:nvSpPr>
      <xdr:spPr>
        <a:xfrm>
          <a:off x="11094720" y="838200"/>
          <a:ext cx="1691640" cy="43434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</a:t>
          </a:r>
          <a:r>
            <a:rPr lang="pt-BR" sz="1100" baseline="0"/>
            <a:t> Venda</a:t>
          </a:r>
          <a:endParaRPr lang="pt-BR" sz="1100"/>
        </a:p>
      </xdr:txBody>
    </xdr:sp>
    <xdr:clientData/>
  </xdr:twoCellAnchor>
  <xdr:twoCellAnchor>
    <xdr:from>
      <xdr:col>13</xdr:col>
      <xdr:colOff>259080</xdr:colOff>
      <xdr:row>6</xdr:row>
      <xdr:rowOff>11430</xdr:rowOff>
    </xdr:from>
    <xdr:to>
      <xdr:col>16</xdr:col>
      <xdr:colOff>121920</xdr:colOff>
      <xdr:row>8</xdr:row>
      <xdr:rowOff>80010</xdr:rowOff>
    </xdr:to>
    <xdr:sp macro="[0]!AdicionarProduto" textlink="">
      <xdr:nvSpPr>
        <xdr:cNvPr id="8" name="Retângulo 7">
          <a:extLst>
            <a:ext uri="{FF2B5EF4-FFF2-40B4-BE49-F238E27FC236}">
              <a16:creationId xmlns:a16="http://schemas.microsoft.com/office/drawing/2014/main" id="{5E207DD6-2B53-46DC-A5B1-6239EBD443C5}"/>
            </a:ext>
          </a:extLst>
        </xdr:cNvPr>
        <xdr:cNvSpPr/>
      </xdr:nvSpPr>
      <xdr:spPr>
        <a:xfrm>
          <a:off x="11094720" y="1390650"/>
          <a:ext cx="1691640" cy="43434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 Produto</a:t>
          </a:r>
        </a:p>
      </xdr:txBody>
    </xdr:sp>
    <xdr:clientData/>
  </xdr:twoCellAnchor>
  <xdr:twoCellAnchor>
    <xdr:from>
      <xdr:col>13</xdr:col>
      <xdr:colOff>259080</xdr:colOff>
      <xdr:row>9</xdr:row>
      <xdr:rowOff>15240</xdr:rowOff>
    </xdr:from>
    <xdr:to>
      <xdr:col>16</xdr:col>
      <xdr:colOff>121920</xdr:colOff>
      <xdr:row>11</xdr:row>
      <xdr:rowOff>83820</xdr:rowOff>
    </xdr:to>
    <xdr:sp macro="[0]!ExcluirProduto" textlink="">
      <xdr:nvSpPr>
        <xdr:cNvPr id="9" name="Retângulo 8">
          <a:extLst>
            <a:ext uri="{FF2B5EF4-FFF2-40B4-BE49-F238E27FC236}">
              <a16:creationId xmlns:a16="http://schemas.microsoft.com/office/drawing/2014/main" id="{29409272-4F96-4925-8ADB-7BAE8D444047}"/>
            </a:ext>
          </a:extLst>
        </xdr:cNvPr>
        <xdr:cNvSpPr/>
      </xdr:nvSpPr>
      <xdr:spPr>
        <a:xfrm>
          <a:off x="11094720" y="1943100"/>
          <a:ext cx="1691640" cy="43434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Produto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60960</xdr:colOff>
      <xdr:row>0</xdr:row>
      <xdr:rowOff>45720</xdr:rowOff>
    </xdr:from>
    <xdr:to>
      <xdr:col>11</xdr:col>
      <xdr:colOff>236220</xdr:colOff>
      <xdr:row>1</xdr:row>
      <xdr:rowOff>160020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1BB9CE-E058-4834-8306-D341D295FC35}"/>
            </a:ext>
          </a:extLst>
        </xdr:cNvPr>
        <xdr:cNvSpPr/>
      </xdr:nvSpPr>
      <xdr:spPr>
        <a:xfrm>
          <a:off x="10126980" y="45720"/>
          <a:ext cx="13944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Semana</a:t>
          </a:r>
          <a:r>
            <a:rPr lang="pt-BR" sz="1100" baseline="0"/>
            <a:t> 4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205740</xdr:colOff>
      <xdr:row>1</xdr:row>
      <xdr:rowOff>22860</xdr:rowOff>
    </xdr:from>
    <xdr:to>
      <xdr:col>12</xdr:col>
      <xdr:colOff>1219200</xdr:colOff>
      <xdr:row>1</xdr:row>
      <xdr:rowOff>243840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FB7FFC-456A-4AE9-9C70-BB8A004D9287}"/>
            </a:ext>
          </a:extLst>
        </xdr:cNvPr>
        <xdr:cNvSpPr/>
      </xdr:nvSpPr>
      <xdr:spPr>
        <a:xfrm>
          <a:off x="10637520" y="205740"/>
          <a:ext cx="101346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11</xdr:col>
      <xdr:colOff>0</xdr:colOff>
      <xdr:row>1</xdr:row>
      <xdr:rowOff>22860</xdr:rowOff>
    </xdr:from>
    <xdr:to>
      <xdr:col>12</xdr:col>
      <xdr:colOff>144780</xdr:colOff>
      <xdr:row>1</xdr:row>
      <xdr:rowOff>243840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FCCAF44-561D-4EC7-AC7B-2C98D51CC68F}"/>
            </a:ext>
          </a:extLst>
        </xdr:cNvPr>
        <xdr:cNvSpPr/>
      </xdr:nvSpPr>
      <xdr:spPr>
        <a:xfrm>
          <a:off x="9563100" y="205740"/>
          <a:ext cx="1013460" cy="2209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13</xdr:col>
      <xdr:colOff>243840</xdr:colOff>
      <xdr:row>3</xdr:row>
      <xdr:rowOff>22860</xdr:rowOff>
    </xdr:from>
    <xdr:to>
      <xdr:col>16</xdr:col>
      <xdr:colOff>106680</xdr:colOff>
      <xdr:row>5</xdr:row>
      <xdr:rowOff>91440</xdr:rowOff>
    </xdr:to>
    <xdr:sp macro="[0]!NovaVenda" textlink="">
      <xdr:nvSpPr>
        <xdr:cNvPr id="7" name="Retângulo 6">
          <a:extLst>
            <a:ext uri="{FF2B5EF4-FFF2-40B4-BE49-F238E27FC236}">
              <a16:creationId xmlns:a16="http://schemas.microsoft.com/office/drawing/2014/main" id="{51DE952B-7F1C-474F-B6BE-64D9273A469E}"/>
            </a:ext>
          </a:extLst>
        </xdr:cNvPr>
        <xdr:cNvSpPr/>
      </xdr:nvSpPr>
      <xdr:spPr>
        <a:xfrm>
          <a:off x="11087100" y="853440"/>
          <a:ext cx="1691640" cy="43434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</a:t>
          </a:r>
          <a:r>
            <a:rPr lang="pt-BR" sz="1100" baseline="0"/>
            <a:t> Venda</a:t>
          </a:r>
          <a:endParaRPr lang="pt-BR" sz="1100"/>
        </a:p>
      </xdr:txBody>
    </xdr:sp>
    <xdr:clientData/>
  </xdr:twoCellAnchor>
  <xdr:twoCellAnchor>
    <xdr:from>
      <xdr:col>13</xdr:col>
      <xdr:colOff>243840</xdr:colOff>
      <xdr:row>6</xdr:row>
      <xdr:rowOff>26670</xdr:rowOff>
    </xdr:from>
    <xdr:to>
      <xdr:col>16</xdr:col>
      <xdr:colOff>106680</xdr:colOff>
      <xdr:row>8</xdr:row>
      <xdr:rowOff>95250</xdr:rowOff>
    </xdr:to>
    <xdr:sp macro="[0]!AdicionarProduto" textlink="">
      <xdr:nvSpPr>
        <xdr:cNvPr id="8" name="Retângulo 7">
          <a:extLst>
            <a:ext uri="{FF2B5EF4-FFF2-40B4-BE49-F238E27FC236}">
              <a16:creationId xmlns:a16="http://schemas.microsoft.com/office/drawing/2014/main" id="{211A661C-87C2-456A-BE0F-319A2D474296}"/>
            </a:ext>
          </a:extLst>
        </xdr:cNvPr>
        <xdr:cNvSpPr/>
      </xdr:nvSpPr>
      <xdr:spPr>
        <a:xfrm>
          <a:off x="11087100" y="1405890"/>
          <a:ext cx="1691640" cy="43434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 Produto</a:t>
          </a:r>
        </a:p>
      </xdr:txBody>
    </xdr:sp>
    <xdr:clientData/>
  </xdr:twoCellAnchor>
  <xdr:twoCellAnchor>
    <xdr:from>
      <xdr:col>13</xdr:col>
      <xdr:colOff>243840</xdr:colOff>
      <xdr:row>9</xdr:row>
      <xdr:rowOff>30480</xdr:rowOff>
    </xdr:from>
    <xdr:to>
      <xdr:col>16</xdr:col>
      <xdr:colOff>106680</xdr:colOff>
      <xdr:row>11</xdr:row>
      <xdr:rowOff>99060</xdr:rowOff>
    </xdr:to>
    <xdr:sp macro="[0]!ExcluirProduto" textlink="">
      <xdr:nvSpPr>
        <xdr:cNvPr id="9" name="Retângulo 8">
          <a:extLst>
            <a:ext uri="{FF2B5EF4-FFF2-40B4-BE49-F238E27FC236}">
              <a16:creationId xmlns:a16="http://schemas.microsoft.com/office/drawing/2014/main" id="{EFFFFD39-38CA-43A5-8E4B-3A6BF16DBEA4}"/>
            </a:ext>
          </a:extLst>
        </xdr:cNvPr>
        <xdr:cNvSpPr/>
      </xdr:nvSpPr>
      <xdr:spPr>
        <a:xfrm>
          <a:off x="11087100" y="1958340"/>
          <a:ext cx="1691640" cy="43434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Produto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</xdr:colOff>
      <xdr:row>0</xdr:row>
      <xdr:rowOff>45720</xdr:rowOff>
    </xdr:from>
    <xdr:to>
      <xdr:col>11</xdr:col>
      <xdr:colOff>205740</xdr:colOff>
      <xdr:row>1</xdr:row>
      <xdr:rowOff>160020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9B376D-310E-43F9-9275-CB0068B4F4BF}"/>
            </a:ext>
          </a:extLst>
        </xdr:cNvPr>
        <xdr:cNvSpPr/>
      </xdr:nvSpPr>
      <xdr:spPr>
        <a:xfrm>
          <a:off x="10096500" y="45720"/>
          <a:ext cx="13944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Semana</a:t>
          </a:r>
          <a:r>
            <a:rPr lang="pt-BR" sz="1100" baseline="0"/>
            <a:t> 5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ko" refreshedDate="45087.625881828702" createdVersion="8" refreshedVersion="8" minRefreshableVersion="3" recordCount="25" xr:uid="{97680C2F-E4C5-4C3B-9BEF-C319F5FBD660}">
  <cacheSource type="worksheet">
    <worksheetSource name="Tabela5"/>
  </cacheSource>
  <cacheFields count="12">
    <cacheField name="Id Venda" numFmtId="0">
      <sharedItems containsSemiMixedTypes="0" containsString="0" containsNumber="1" containsInteger="1" minValue="1" maxValue="13"/>
    </cacheField>
    <cacheField name="Data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to" numFmtId="0">
      <sharedItems count="13">
        <s v="Amendoim"/>
        <s v="Caixa de Fósforo"/>
        <s v="Carne"/>
        <s v="Cerveja"/>
        <s v="Feijão"/>
        <s v="Refrigerante"/>
        <s v="Pão de Forma"/>
        <s v="Vagem"/>
        <s v="Queijo"/>
        <s v="Alface"/>
        <s v="Bala"/>
        <s v="Arroz"/>
        <s v="Leite"/>
      </sharedItems>
    </cacheField>
    <cacheField name="Medida" numFmtId="0">
      <sharedItems count="5">
        <s v="Pacote"/>
        <s v="Kg"/>
        <s v="Lata"/>
        <s v="Litro"/>
        <s v="Unidade"/>
      </sharedItems>
    </cacheField>
    <cacheField name="Quantidade" numFmtId="0">
      <sharedItems containsSemiMixedTypes="0" containsString="0" containsNumber="1" minValue="1" maxValue="24"/>
    </cacheField>
    <cacheField name="Preco Unitario" numFmtId="44">
      <sharedItems containsSemiMixedTypes="0" containsString="0" containsNumber="1" minValue="0.79" maxValue="25.9"/>
    </cacheField>
    <cacheField name="Subtotal" numFmtId="44">
      <sharedItems containsSemiMixedTypes="0" containsString="0" containsNumber="1" minValue="0.79" maxValue="159"/>
    </cacheField>
    <cacheField name="Desconto " numFmtId="9">
      <sharedItems containsString="0" containsBlank="1" containsNumber="1" minValue="0.03" maxValue="0.03"/>
    </cacheField>
    <cacheField name="Entrega" numFmtId="0">
      <sharedItems count="4">
        <s v="Zona Sul"/>
        <s v="Loja"/>
        <s v="Zona Norte"/>
        <s v="Zona Oeste"/>
      </sharedItems>
    </cacheField>
    <cacheField name="Valor de Entrega" numFmtId="44">
      <sharedItems containsSemiMixedTypes="0" containsString="0" containsNumber="1" minValue="0" maxValue="8"/>
    </cacheField>
    <cacheField name="Total" numFmtId="44">
      <sharedItems containsSemiMixedTypes="0" containsString="0" containsNumber="1" minValue="0.79" maxValue="159"/>
    </cacheField>
    <cacheField name="Total para Cliente" numFmtId="44">
      <sharedItems containsMixedTypes="1" containsNumber="1" minValue="2.19" maxValue="230.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ko" refreshedDate="45087.638202314818" createdVersion="8" refreshedVersion="8" minRefreshableVersion="3" recordCount="10" xr:uid="{A49ED7C0-F3DD-49FE-9C6A-5EEF469487A8}">
  <cacheSource type="worksheet">
    <worksheetSource name="Tabela57"/>
  </cacheSource>
  <cacheFields count="12">
    <cacheField name="Id Venda" numFmtId="0">
      <sharedItems containsString="0" containsBlank="1" containsNumber="1" containsInteger="1" minValue="1" maxValue="3"/>
    </cacheField>
    <cacheField name="Data" numFmtId="0">
      <sharedItems containsNonDate="0" containsDate="1" containsString="0" containsBlank="1" minDate="2023-06-04T00:00:00" maxDate="2023-06-06T00:00:00" count="3">
        <d v="2023-06-04T00:00:00"/>
        <d v="2023-06-05T00:00:00"/>
        <m/>
      </sharedItems>
    </cacheField>
    <cacheField name="Produto" numFmtId="0">
      <sharedItems containsBlank="1" count="4">
        <s v="vodka"/>
        <s v="Amendoim"/>
        <s v="Caixa de Fósforo"/>
        <m/>
      </sharedItems>
    </cacheField>
    <cacheField name="Medida" numFmtId="0">
      <sharedItems/>
    </cacheField>
    <cacheField name="Quantidade" numFmtId="0">
      <sharedItems containsString="0" containsBlank="1" containsNumber="1" containsInteger="1" minValue="2" maxValue="5"/>
    </cacheField>
    <cacheField name="Preco Unitario" numFmtId="44">
      <sharedItems containsSemiMixedTypes="0" containsString="0" containsNumber="1" minValue="0" maxValue="54.9"/>
    </cacheField>
    <cacheField name="Subtotal" numFmtId="44">
      <sharedItems containsSemiMixedTypes="0" containsString="0" containsNumber="1" minValue="0" maxValue="164.7"/>
    </cacheField>
    <cacheField name="Desconto " numFmtId="9">
      <sharedItems containsString="0" containsBlank="1" containsNumber="1" minValue="0.01" maxValue="0.02"/>
    </cacheField>
    <cacheField name="Entrega" numFmtId="0">
      <sharedItems containsBlank="1" count="4">
        <s v="Zona Oeste"/>
        <s v="Centro"/>
        <s v="Loja"/>
        <m/>
      </sharedItems>
    </cacheField>
    <cacheField name="Valor de Entrega" numFmtId="44">
      <sharedItems containsSemiMixedTypes="0" containsString="0" containsNumber="1" containsInteger="1" minValue="0" maxValue="8"/>
    </cacheField>
    <cacheField name="Total" numFmtId="44">
      <sharedItems containsSemiMixedTypes="0" containsString="0" containsNumber="1" minValue="0" maxValue="171.053"/>
    </cacheField>
    <cacheField name="Total para Cliente" numFmtId="44">
      <sharedItems containsMixedTypes="1" containsNumber="1" minValue="7.37" maxValue="173.353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ko" refreshedDate="45087.638854861114" createdVersion="8" refreshedVersion="8" minRefreshableVersion="3" recordCount="9" xr:uid="{5BD0E58A-0D03-4817-BB80-AA5515B06C3F}">
  <cacheSource type="worksheet">
    <worksheetSource name="Tabela58"/>
  </cacheSource>
  <cacheFields count="12">
    <cacheField name="Id Venda" numFmtId="0">
      <sharedItems containsNonDate="0" containsString="0" containsBlank="1"/>
    </cacheField>
    <cacheField name="Data" numFmtId="0">
      <sharedItems containsNonDate="0" containsString="0" containsBlank="1" count="1">
        <m/>
      </sharedItems>
    </cacheField>
    <cacheField name="Produto" numFmtId="0">
      <sharedItems containsNonDate="0" containsString="0" containsBlank="1" count="1">
        <m/>
      </sharedItems>
    </cacheField>
    <cacheField name="Medida" numFmtId="0">
      <sharedItems/>
    </cacheField>
    <cacheField name="Quantidade" numFmtId="0">
      <sharedItems containsNonDate="0" containsString="0" containsBlank="1"/>
    </cacheField>
    <cacheField name="Preco Unitario" numFmtId="44">
      <sharedItems containsSemiMixedTypes="0" containsString="0" containsNumber="1" containsInteger="1" minValue="0" maxValue="0"/>
    </cacheField>
    <cacheField name="Subtotal" numFmtId="44">
      <sharedItems containsSemiMixedTypes="0" containsString="0" containsNumber="1" containsInteger="1" minValue="0" maxValue="0"/>
    </cacheField>
    <cacheField name="Desconto " numFmtId="9">
      <sharedItems containsNonDate="0" containsString="0" containsBlank="1"/>
    </cacheField>
    <cacheField name="Entrega" numFmtId="0">
      <sharedItems containsNonDate="0" containsString="0" containsBlank="1" count="1">
        <m/>
      </sharedItems>
    </cacheField>
    <cacheField name="Valor de Entrega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containsInteger="1" minValue="0" maxValue="0"/>
    </cacheField>
    <cacheField name="Total para Cliente" numFmtId="4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ko" refreshedDate="45087.639800231482" createdVersion="8" refreshedVersion="8" minRefreshableVersion="3" recordCount="9" xr:uid="{4B79E99A-5DF9-417E-8675-782A94E01146}">
  <cacheSource type="worksheet">
    <worksheetSource name="Tabela59"/>
  </cacheSource>
  <cacheFields count="12">
    <cacheField name="Id Venda" numFmtId="0">
      <sharedItems containsNonDate="0" containsString="0" containsBlank="1"/>
    </cacheField>
    <cacheField name="Data" numFmtId="0">
      <sharedItems containsNonDate="0" containsString="0" containsBlank="1" count="1">
        <m/>
      </sharedItems>
    </cacheField>
    <cacheField name="Produto" numFmtId="0">
      <sharedItems containsNonDate="0" containsString="0" containsBlank="1" count="1">
        <m/>
      </sharedItems>
    </cacheField>
    <cacheField name="Medida" numFmtId="0">
      <sharedItems/>
    </cacheField>
    <cacheField name="Quantidade" numFmtId="0">
      <sharedItems containsNonDate="0" containsString="0" containsBlank="1"/>
    </cacheField>
    <cacheField name="Preco Unitario" numFmtId="44">
      <sharedItems containsSemiMixedTypes="0" containsString="0" containsNumber="1" containsInteger="1" minValue="0" maxValue="0"/>
    </cacheField>
    <cacheField name="Subtotal" numFmtId="44">
      <sharedItems containsSemiMixedTypes="0" containsString="0" containsNumber="1" containsInteger="1" minValue="0" maxValue="0"/>
    </cacheField>
    <cacheField name="Desconto " numFmtId="9">
      <sharedItems containsNonDate="0" containsString="0" containsBlank="1"/>
    </cacheField>
    <cacheField name="Entrega" numFmtId="0">
      <sharedItems containsNonDate="0" containsString="0" containsBlank="1" count="1">
        <m/>
      </sharedItems>
    </cacheField>
    <cacheField name="Valor de Entrega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containsInteger="1" minValue="0" maxValue="0"/>
    </cacheField>
    <cacheField name="Total para Cliente" numFmtId="4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ko" refreshedDate="45087.64019085648" createdVersion="8" refreshedVersion="8" minRefreshableVersion="3" recordCount="9" xr:uid="{1CB6FA54-121B-4F5A-A93B-2E1F258DD0D0}">
  <cacheSource type="worksheet">
    <worksheetSource name="Tabela5910"/>
  </cacheSource>
  <cacheFields count="12">
    <cacheField name="Id Venda" numFmtId="0">
      <sharedItems containsSemiMixedTypes="0" containsString="0" containsNumber="1" containsInteger="1" minValue="1" maxValue="9"/>
    </cacheField>
    <cacheField name="Data" numFmtId="0">
      <sharedItems containsNonDate="0" containsString="0" containsBlank="1" count="1">
        <m/>
      </sharedItems>
    </cacheField>
    <cacheField name="Produto" numFmtId="0">
      <sharedItems containsNonDate="0" containsString="0" containsBlank="1" count="1">
        <m/>
      </sharedItems>
    </cacheField>
    <cacheField name="Medida" numFmtId="0">
      <sharedItems/>
    </cacheField>
    <cacheField name="Quantidade" numFmtId="0">
      <sharedItems containsNonDate="0" containsString="0" containsBlank="1"/>
    </cacheField>
    <cacheField name="Preco Unitario" numFmtId="44">
      <sharedItems containsSemiMixedTypes="0" containsString="0" containsNumber="1" containsInteger="1" minValue="0" maxValue="0"/>
    </cacheField>
    <cacheField name="Subtotal" numFmtId="44">
      <sharedItems containsSemiMixedTypes="0" containsString="0" containsNumber="1" containsInteger="1" minValue="0" maxValue="0"/>
    </cacheField>
    <cacheField name="Desconto " numFmtId="9">
      <sharedItems containsNonDate="0" containsString="0" containsBlank="1"/>
    </cacheField>
    <cacheField name="Entrega" numFmtId="0">
      <sharedItems containsNonDate="0" containsString="0" containsBlank="1" count="1">
        <m/>
      </sharedItems>
    </cacheField>
    <cacheField name="Valor de Entrega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containsInteger="1" minValue="0" maxValue="0"/>
    </cacheField>
    <cacheField name="Total para Cliente" numFmtId="44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3"/>
    <x v="0"/>
    <x v="0"/>
    <x v="0"/>
    <n v="10"/>
    <n v="1.1499999999999999"/>
    <n v="11.5"/>
    <n v="0.03"/>
    <x v="0"/>
    <n v="0"/>
    <n v="11.154999999999999"/>
    <s v=""/>
  </r>
  <r>
    <n v="13"/>
    <x v="0"/>
    <x v="1"/>
    <x v="0"/>
    <n v="1"/>
    <n v="0.79"/>
    <n v="0.79"/>
    <m/>
    <x v="0"/>
    <n v="0"/>
    <n v="0.79"/>
    <s v=""/>
  </r>
  <r>
    <n v="13"/>
    <x v="0"/>
    <x v="2"/>
    <x v="1"/>
    <n v="10"/>
    <n v="15.9"/>
    <n v="159"/>
    <m/>
    <x v="0"/>
    <n v="0"/>
    <n v="159"/>
    <s v=""/>
  </r>
  <r>
    <n v="13"/>
    <x v="0"/>
    <x v="3"/>
    <x v="2"/>
    <n v="24"/>
    <n v="2.19"/>
    <n v="52.56"/>
    <m/>
    <x v="0"/>
    <n v="6.5"/>
    <n v="59.06"/>
    <n v="230.005"/>
  </r>
  <r>
    <n v="12"/>
    <x v="1"/>
    <x v="3"/>
    <x v="2"/>
    <n v="1"/>
    <n v="2.19"/>
    <n v="2.19"/>
    <m/>
    <x v="1"/>
    <n v="0"/>
    <n v="2.19"/>
    <n v="2.19"/>
  </r>
  <r>
    <n v="11"/>
    <x v="1"/>
    <x v="3"/>
    <x v="2"/>
    <n v="10"/>
    <n v="2.19"/>
    <n v="21.9"/>
    <m/>
    <x v="1"/>
    <n v="0"/>
    <n v="21.9"/>
    <n v="21.9"/>
  </r>
  <r>
    <n v="10"/>
    <x v="1"/>
    <x v="4"/>
    <x v="1"/>
    <n v="6"/>
    <n v="4.28"/>
    <n v="25.68"/>
    <m/>
    <x v="1"/>
    <n v="0"/>
    <n v="25.68"/>
    <s v=""/>
  </r>
  <r>
    <n v="10"/>
    <x v="1"/>
    <x v="5"/>
    <x v="3"/>
    <n v="4"/>
    <n v="2.39"/>
    <n v="9.56"/>
    <m/>
    <x v="1"/>
    <n v="0"/>
    <n v="9.56"/>
    <n v="35.24"/>
  </r>
  <r>
    <n v="9"/>
    <x v="2"/>
    <x v="6"/>
    <x v="4"/>
    <n v="5"/>
    <n v="2.89"/>
    <n v="14.450000000000001"/>
    <m/>
    <x v="1"/>
    <n v="0"/>
    <n v="14.450000000000001"/>
    <s v=""/>
  </r>
  <r>
    <n v="9"/>
    <x v="2"/>
    <x v="7"/>
    <x v="1"/>
    <n v="2"/>
    <n v="9.58"/>
    <n v="19.16"/>
    <m/>
    <x v="1"/>
    <n v="0"/>
    <n v="19.16"/>
    <s v=""/>
  </r>
  <r>
    <n v="9"/>
    <x v="2"/>
    <x v="8"/>
    <x v="1"/>
    <n v="1.5"/>
    <n v="25.9"/>
    <n v="38.849999999999994"/>
    <m/>
    <x v="1"/>
    <n v="0"/>
    <n v="38.849999999999994"/>
    <s v=""/>
  </r>
  <r>
    <n v="9"/>
    <x v="2"/>
    <x v="4"/>
    <x v="1"/>
    <n v="4"/>
    <n v="4.28"/>
    <n v="17.12"/>
    <m/>
    <x v="1"/>
    <n v="0"/>
    <n v="17.12"/>
    <n v="89.58"/>
  </r>
  <r>
    <n v="8"/>
    <x v="2"/>
    <x v="3"/>
    <x v="2"/>
    <n v="20"/>
    <n v="2.19"/>
    <n v="43.8"/>
    <m/>
    <x v="0"/>
    <n v="6.5"/>
    <n v="50.3"/>
    <n v="50.3"/>
  </r>
  <r>
    <n v="7"/>
    <x v="2"/>
    <x v="3"/>
    <x v="2"/>
    <n v="20"/>
    <n v="2.19"/>
    <n v="43.8"/>
    <m/>
    <x v="1"/>
    <n v="0"/>
    <n v="43.8"/>
    <n v="43.8"/>
  </r>
  <r>
    <n v="6"/>
    <x v="2"/>
    <x v="1"/>
    <x v="0"/>
    <n v="2"/>
    <n v="0.79"/>
    <n v="1.58"/>
    <m/>
    <x v="1"/>
    <n v="0"/>
    <n v="1.58"/>
    <s v=""/>
  </r>
  <r>
    <n v="6"/>
    <x v="2"/>
    <x v="2"/>
    <x v="1"/>
    <n v="6"/>
    <n v="15.9"/>
    <n v="95.4"/>
    <m/>
    <x v="1"/>
    <n v="0"/>
    <n v="95.4"/>
    <s v=""/>
  </r>
  <r>
    <n v="6"/>
    <x v="2"/>
    <x v="3"/>
    <x v="2"/>
    <n v="12"/>
    <n v="2.19"/>
    <n v="26.28"/>
    <m/>
    <x v="1"/>
    <n v="0"/>
    <n v="26.28"/>
    <n v="123.26"/>
  </r>
  <r>
    <n v="5"/>
    <x v="3"/>
    <x v="9"/>
    <x v="4"/>
    <n v="3"/>
    <n v="2.99"/>
    <n v="8.9700000000000006"/>
    <m/>
    <x v="0"/>
    <n v="6.5"/>
    <n v="15.47"/>
    <n v="15.47"/>
  </r>
  <r>
    <n v="4"/>
    <x v="3"/>
    <x v="10"/>
    <x v="0"/>
    <n v="2"/>
    <n v="1.99"/>
    <n v="3.98"/>
    <m/>
    <x v="2"/>
    <n v="0"/>
    <n v="3.98"/>
    <s v=""/>
  </r>
  <r>
    <n v="4"/>
    <x v="3"/>
    <x v="11"/>
    <x v="1"/>
    <n v="5"/>
    <n v="2.4900000000000002"/>
    <n v="12.450000000000001"/>
    <m/>
    <x v="2"/>
    <n v="6.5"/>
    <n v="18.950000000000003"/>
    <n v="22.930000000000003"/>
  </r>
  <r>
    <n v="3"/>
    <x v="3"/>
    <x v="12"/>
    <x v="3"/>
    <n v="6"/>
    <n v="1.49"/>
    <n v="8.94"/>
    <m/>
    <x v="3"/>
    <n v="8"/>
    <n v="16.939999999999998"/>
    <n v="16.939999999999998"/>
  </r>
  <r>
    <n v="2"/>
    <x v="3"/>
    <x v="10"/>
    <x v="0"/>
    <n v="1"/>
    <n v="1.99"/>
    <n v="1.99"/>
    <m/>
    <x v="2"/>
    <n v="6.5"/>
    <n v="8.49"/>
    <n v="8.49"/>
  </r>
  <r>
    <n v="1"/>
    <x v="3"/>
    <x v="11"/>
    <x v="1"/>
    <n v="2"/>
    <n v="2.4900000000000002"/>
    <n v="4.9800000000000004"/>
    <m/>
    <x v="1"/>
    <n v="0"/>
    <n v="4.9800000000000004"/>
    <s v=""/>
  </r>
  <r>
    <n v="1"/>
    <x v="3"/>
    <x v="0"/>
    <x v="0"/>
    <n v="3"/>
    <n v="1.1499999999999999"/>
    <n v="3.4499999999999997"/>
    <m/>
    <x v="1"/>
    <n v="0"/>
    <n v="3.4499999999999997"/>
    <s v=""/>
  </r>
  <r>
    <n v="1"/>
    <x v="3"/>
    <x v="10"/>
    <x v="0"/>
    <n v="1"/>
    <n v="1.99"/>
    <n v="1.99"/>
    <m/>
    <x v="1"/>
    <n v="0"/>
    <n v="1.99"/>
    <n v="10.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2"/>
    <x v="0"/>
    <x v="0"/>
    <s v="Garrafa"/>
    <n v="3"/>
    <n v="54.9"/>
    <n v="164.7"/>
    <n v="0.01"/>
    <x v="0"/>
    <n v="8"/>
    <n v="171.053"/>
    <n v="173.35300000000001"/>
  </r>
  <r>
    <n v="1"/>
    <x v="1"/>
    <x v="1"/>
    <s v="Pacote"/>
    <n v="5"/>
    <n v="1.1499999999999999"/>
    <n v="5.75"/>
    <n v="0.02"/>
    <x v="0"/>
    <n v="8"/>
    <n v="13.635"/>
    <n v="13.635"/>
  </r>
  <r>
    <n v="3"/>
    <x v="1"/>
    <x v="2"/>
    <s v="Pacote"/>
    <n v="3"/>
    <n v="0.79"/>
    <n v="2.37"/>
    <m/>
    <x v="1"/>
    <n v="5"/>
    <n v="7.37"/>
    <n v="7.37"/>
  </r>
  <r>
    <n v="2"/>
    <x v="1"/>
    <x v="1"/>
    <s v="Pacote"/>
    <n v="2"/>
    <n v="1.1499999999999999"/>
    <n v="2.2999999999999998"/>
    <m/>
    <x v="2"/>
    <n v="0"/>
    <n v="2.2999999999999998"/>
    <n v="173.35300000000001"/>
  </r>
  <r>
    <m/>
    <x v="2"/>
    <x v="3"/>
    <s v=""/>
    <m/>
    <n v="0"/>
    <n v="0"/>
    <m/>
    <x v="3"/>
    <n v="0"/>
    <n v="0"/>
    <s v=""/>
  </r>
  <r>
    <m/>
    <x v="2"/>
    <x v="3"/>
    <s v=""/>
    <m/>
    <n v="0"/>
    <n v="0"/>
    <m/>
    <x v="3"/>
    <n v="0"/>
    <n v="0"/>
    <s v=""/>
  </r>
  <r>
    <m/>
    <x v="2"/>
    <x v="3"/>
    <s v=""/>
    <m/>
    <n v="0"/>
    <n v="0"/>
    <m/>
    <x v="3"/>
    <n v="0"/>
    <n v="0"/>
    <s v=""/>
  </r>
  <r>
    <m/>
    <x v="2"/>
    <x v="3"/>
    <s v=""/>
    <m/>
    <n v="0"/>
    <n v="0"/>
    <m/>
    <x v="3"/>
    <n v="0"/>
    <n v="0"/>
    <s v=""/>
  </r>
  <r>
    <m/>
    <x v="2"/>
    <x v="3"/>
    <s v=""/>
    <m/>
    <n v="0"/>
    <n v="0"/>
    <m/>
    <x v="3"/>
    <n v="0"/>
    <n v="0"/>
    <s v=""/>
  </r>
  <r>
    <m/>
    <x v="2"/>
    <x v="3"/>
    <s v=""/>
    <m/>
    <n v="0"/>
    <n v="0"/>
    <m/>
    <x v="3"/>
    <n v="0"/>
    <n v="0"/>
    <s v="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n v="9"/>
    <x v="0"/>
    <x v="0"/>
    <s v=""/>
    <m/>
    <n v="0"/>
    <n v="0"/>
    <m/>
    <x v="0"/>
    <n v="0"/>
    <n v="0"/>
    <n v="0"/>
  </r>
  <r>
    <n v="8"/>
    <x v="0"/>
    <x v="0"/>
    <s v=""/>
    <m/>
    <n v="0"/>
    <n v="0"/>
    <m/>
    <x v="0"/>
    <n v="0"/>
    <n v="0"/>
    <n v="0"/>
  </r>
  <r>
    <n v="7"/>
    <x v="0"/>
    <x v="0"/>
    <s v=""/>
    <m/>
    <n v="0"/>
    <n v="0"/>
    <m/>
    <x v="0"/>
    <n v="0"/>
    <n v="0"/>
    <n v="0"/>
  </r>
  <r>
    <n v="6"/>
    <x v="0"/>
    <x v="0"/>
    <s v=""/>
    <m/>
    <n v="0"/>
    <n v="0"/>
    <m/>
    <x v="0"/>
    <n v="0"/>
    <n v="0"/>
    <n v="0"/>
  </r>
  <r>
    <n v="5"/>
    <x v="0"/>
    <x v="0"/>
    <s v=""/>
    <m/>
    <n v="0"/>
    <n v="0"/>
    <m/>
    <x v="0"/>
    <n v="0"/>
    <n v="0"/>
    <n v="0"/>
  </r>
  <r>
    <n v="4"/>
    <x v="0"/>
    <x v="0"/>
    <s v=""/>
    <m/>
    <n v="0"/>
    <n v="0"/>
    <m/>
    <x v="0"/>
    <n v="0"/>
    <n v="0"/>
    <n v="0"/>
  </r>
  <r>
    <n v="3"/>
    <x v="0"/>
    <x v="0"/>
    <s v=""/>
    <m/>
    <n v="0"/>
    <n v="0"/>
    <m/>
    <x v="0"/>
    <n v="0"/>
    <n v="0"/>
    <n v="0"/>
  </r>
  <r>
    <n v="2"/>
    <x v="0"/>
    <x v="0"/>
    <s v=""/>
    <m/>
    <n v="0"/>
    <n v="0"/>
    <m/>
    <x v="0"/>
    <n v="0"/>
    <n v="0"/>
    <n v="0"/>
  </r>
  <r>
    <n v="1"/>
    <x v="0"/>
    <x v="0"/>
    <s v=""/>
    <m/>
    <n v="0"/>
    <n v="0"/>
    <m/>
    <x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5EFA93-C7E0-42B0-8FAB-F832335F827E}" name="Tabela dinâmica4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8" firstHeaderRow="0" firstDataRow="1" firstDataCol="1"/>
  <pivotFields count="12">
    <pivotField showAll="0"/>
    <pivotField numFmtId="14" showAll="0"/>
    <pivotField axis="axisRow" showAll="0">
      <items count="14">
        <item x="9"/>
        <item x="0"/>
        <item x="11"/>
        <item x="10"/>
        <item x="1"/>
        <item x="2"/>
        <item x="3"/>
        <item x="4"/>
        <item x="12"/>
        <item x="6"/>
        <item x="8"/>
        <item x="5"/>
        <item x="7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5">
        <item sd="0" x="1"/>
        <item sd="0" x="2"/>
        <item sd="0" x="3"/>
        <item sd="0"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5D3765-4C53-4D64-86B4-8AB443B9BFDF}" name="Tabela dinâmica3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8" firstHeaderRow="0" firstDataRow="1" firstDataCol="1"/>
  <pivotFields count="12">
    <pivotField showAll="0"/>
    <pivotField axis="axisRow" numFmtId="14" showAll="0">
      <items count="5">
        <item sd="0" x="3"/>
        <item sd="0" x="2"/>
        <item sd="0" x="1"/>
        <item sd="0" x="0"/>
        <item t="default"/>
      </items>
    </pivotField>
    <pivotField axis="axisRow" showAll="0">
      <items count="14">
        <item x="9"/>
        <item x="0"/>
        <item x="11"/>
        <item x="10"/>
        <item x="1"/>
        <item x="2"/>
        <item x="3"/>
        <item x="4"/>
        <item x="12"/>
        <item x="6"/>
        <item x="8"/>
        <item x="5"/>
        <item x="7"/>
        <item t="default"/>
      </items>
    </pivotField>
    <pivotField showAll="0">
      <items count="6">
        <item x="1"/>
        <item x="2"/>
        <item x="3"/>
        <item x="0"/>
        <item x="4"/>
        <item t="default"/>
      </items>
    </pivotField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61FF91-0B58-4F79-8D69-8DF55E02F041}" name="Tabela dinâmica3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7" firstHeaderRow="0" firstDataRow="1" firstDataCol="1"/>
  <pivotFields count="12">
    <pivotField showAll="0"/>
    <pivotField axis="axisRow" numFmtId="14" showAll="0">
      <items count="4">
        <item sd="0" x="1"/>
        <item sd="0" x="2"/>
        <item sd="0" x="0"/>
        <item t="default"/>
      </items>
    </pivotField>
    <pivotField axis="axisRow" showAll="0">
      <items count="5">
        <item x="1"/>
        <item x="2"/>
        <item x="3"/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235533-F88C-4DA9-ACAE-338ABC6F0371}" name="Tabela dinâmica4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8" firstHeaderRow="0" firstDataRow="1" firstDataCol="1"/>
  <pivotFields count="12">
    <pivotField showAll="0"/>
    <pivotField numFmtId="14" showAll="0"/>
    <pivotField axis="axisRow" showAll="0">
      <items count="5">
        <item x="1"/>
        <item x="2"/>
        <item x="3"/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5">
        <item sd="0" x="2"/>
        <item sd="0" x="0"/>
        <item sd="0" x="1"/>
        <item sd="0" x="3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2FA35F-CC4A-4ADD-98C5-A9D23BC933D5}" name="Tabela dinâmica4" cacheId="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5" firstHeaderRow="0" firstDataRow="1" firstDataCol="1"/>
  <pivotFields count="12">
    <pivotField showAll="0"/>
    <pivotField numFmtId="14" showAll="0"/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2">
        <item sd="0"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66B0E2-C36A-4DAA-BA0D-49ED2DC8BB34}" name="Tabela dinâmica3" cacheId="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5" firstHeaderRow="0" firstDataRow="1" firstDataCol="1"/>
  <pivotFields count="12">
    <pivotField showAll="0"/>
    <pivotField axis="axisRow" numFmtId="14" showAll="0">
      <items count="2">
        <item sd="0" x="0"/>
        <item t="default"/>
      </items>
    </pivotField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DB4444-BC3B-4E25-8711-AC6B2EBCF0CF}" name="Tabela dinâmica3" cacheId="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5" firstHeaderRow="0" firstDataRow="1" firstDataCol="1"/>
  <pivotFields count="12">
    <pivotField showAll="0"/>
    <pivotField axis="axisRow" numFmtId="14" showAll="0">
      <items count="2">
        <item sd="0" x="0"/>
        <item t="default"/>
      </items>
    </pivotField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2D9A1F-10EC-47B9-ACC8-D437A99349B4}" name="Tabela dinâmica4" cacheId="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5" firstHeaderRow="0" firstDataRow="1" firstDataCol="1"/>
  <pivotFields count="12">
    <pivotField showAll="0"/>
    <pivotField numFmtId="14" showAll="0"/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2">
        <item sd="0"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CB3968-B251-4C23-BB11-037E6D501517}" name="Tabela dinâmica4" cacheId="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5" firstHeaderRow="0" firstDataRow="1" firstDataCol="1"/>
  <pivotFields count="12">
    <pivotField showAll="0"/>
    <pivotField numFmtId="14" showAll="0"/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2">
        <item sd="0"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498A26-277D-4499-92AF-682B6E4D24D4}" name="Tabela dinâmica3" cacheId="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5" firstHeaderRow="0" firstDataRow="1" firstDataCol="1"/>
  <pivotFields count="12">
    <pivotField showAll="0"/>
    <pivotField axis="axisRow" numFmtId="14" showAll="0">
      <items count="2">
        <item sd="0" x="0"/>
        <item t="default"/>
      </items>
    </pivotField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A6E4E3-802B-456E-B816-230191763B87}" name="Tabela1" displayName="Tabela1" ref="B4:G29" totalsRowShown="0">
  <autoFilter ref="B4:G29" xr:uid="{FEA6E4E3-802B-456E-B816-230191763B87}"/>
  <tableColumns count="6">
    <tableColumn id="1" xr3:uid="{7312C2D1-288D-47A5-BB31-0DBDC6E60AC1}" name="Despesas Funcionamento"/>
    <tableColumn id="2" xr3:uid="{B98C24C9-C3A2-4C74-B2B1-E1ECFC91AF09}" name="Intens Despesas"/>
    <tableColumn id="3" xr3:uid="{1C354ED6-39F4-4768-91DC-D4967058EEAF}" name="Data"/>
    <tableColumn id="4" xr3:uid="{A86B3686-38C6-4777-9527-A0D7181A6B94}" name="Observação"/>
    <tableColumn id="5" xr3:uid="{9E2785B9-5358-4276-BC24-9D99D45D6A35}" name="Valor Intermediario" dataCellStyle="Moeda"/>
    <tableColumn id="6" xr3:uid="{D1B03950-FC99-4AED-B28B-4E0EF53CAC20}" name="Valor Final" dataCellStyle="Moeda"/>
  </tableColumns>
  <tableStyleInfo name="TableStyleMedium2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5E8250-B3BA-4D3A-9E88-078D9A2426B0}" name="Tabela2" displayName="Tabela2" ref="B4:I26" totalsRowShown="0">
  <autoFilter ref="B4:I26" xr:uid="{C25E8250-B3BA-4D3A-9E88-078D9A2426B0}"/>
  <sortState xmlns:xlrd2="http://schemas.microsoft.com/office/spreadsheetml/2017/richdata2" ref="B5:I26">
    <sortCondition descending="1" ref="B4:B26"/>
  </sortState>
  <tableColumns count="8">
    <tableColumn id="1" xr3:uid="{0CEEEDDE-94B4-438C-A004-8A187D6C9676}" name="Data" dataDxfId="48"/>
    <tableColumn id="2" xr3:uid="{B9BA855F-8AE3-4184-AD46-02DC27E1D7D0}" name="Fornecedor"/>
    <tableColumn id="3" xr3:uid="{BCACB3B7-223F-4DA2-9F4A-1050CAC12F8B}" name="Mercadoria"/>
    <tableColumn id="4" xr3:uid="{4A35AF9C-AD10-4534-A6D8-811E360F214A}" name="Medida" dataDxfId="47">
      <calculatedColumnFormula>IFERROR(VLOOKUP(Tabela2[[#This Row],[Mercadoria]],cálculos!$H$3:$K$33,4,),"")</calculatedColumnFormula>
    </tableColumn>
    <tableColumn id="5" xr3:uid="{079B12ED-800C-474E-BA5B-7E3585BD93A1}" name="Quantidade"/>
    <tableColumn id="6" xr3:uid="{D46E7D3A-1E72-4730-B88D-ED75E82CCB7D}" name="Preço Unitario" dataDxfId="46" dataCellStyle="Moeda">
      <calculatedColumnFormula>IFERROR(VLOOKUP(Tabela2[[#This Row],[Mercadoria]],cálculos!$H$3:$K$33,2,),"")</calculatedColumnFormula>
    </tableColumn>
    <tableColumn id="7" xr3:uid="{D76330C0-C2AE-4170-858B-A1F98807FF80}" name="Desconto" dataCellStyle="Porcentagem"/>
    <tableColumn id="8" xr3:uid="{89256042-C92E-495A-A19E-02BDD627F512}" name="Valor Pago" dataDxfId="45" dataCellStyle="Moeda">
      <calculatedColumnFormula>Tabela2[[#This Row],[Quantidade]]*Tabela2[[#This Row],[Preço Unitario]]*(1-Tabela2[[#This Row],[Desconto]])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3D0A6EC-3057-43D7-8656-0AA2F56511C7}" name="Tabela3" displayName="Tabela3" ref="B4:E9" totalsRowShown="0">
  <autoFilter ref="B4:E9" xr:uid="{93D0A6EC-3057-43D7-8656-0AA2F56511C7}"/>
  <tableColumns count="4">
    <tableColumn id="1" xr3:uid="{AEEA45EE-6104-4187-B0A8-F789AB09F566}" name="Investimento"/>
    <tableColumn id="2" xr3:uid="{93D4904E-08D6-4805-9300-3D5782E98954}" name="Data"/>
    <tableColumn id="3" xr3:uid="{E6FE6CA2-7940-4BAE-A9C2-E4D842D47EF3}" name="Descrição"/>
    <tableColumn id="4" xr3:uid="{B43F2E98-DAE1-4FD9-9A50-D410D9635F9C}" name="Valor" dataCellStyle="Mo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1E26EF-F947-4FA8-BB0E-24B364711D01}" name="Tabela4" displayName="Tabela4" ref="B4:H28" totalsRowShown="0">
  <autoFilter ref="B4:H28" xr:uid="{031E26EF-F947-4FA8-BB0E-24B364711D01}"/>
  <tableColumns count="7">
    <tableColumn id="1" xr3:uid="{D531BA7E-30D2-44A6-BF28-C3CF2BCD3A40}" name="Produto"/>
    <tableColumn id="2" xr3:uid="{89BB21FA-006F-434E-8339-FEC2D22E0258}" name="Data da última compra" dataDxfId="44">
      <calculatedColumnFormula>IFERROR(INDEX(Tabela2[],MATCH('Controle de Estoque'!B5,Tabela2[Mercadoria],0),1),"")</calculatedColumnFormula>
    </tableColumn>
    <tableColumn id="3" xr3:uid="{7142877B-29F2-402D-9695-416258FC8119}" name="Quantidade Inicial"/>
    <tableColumn id="4" xr3:uid="{5113FBC5-0DB0-41A9-A21F-E8BEFEED9BA0}" name="Quantidade Comprada" dataDxfId="43">
      <calculatedColumnFormula>SUMIF(Tabela2[Mercadoria],Tabela4[[#This Row],[Produto]],Tabela2[Quantidade])</calculatedColumnFormula>
    </tableColumn>
    <tableColumn id="5" xr3:uid="{D0590515-AA18-41DA-A39C-1E2D5EEF3975}" name="Quantidade Vendida" dataDxfId="9">
      <calculatedColumnFormula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calculatedColumnFormula>
    </tableColumn>
    <tableColumn id="6" xr3:uid="{05C96479-A305-485B-8DC0-515DA282E578}" name="Quantidade Atual" dataDxfId="42">
      <calculatedColumnFormula>Tabela4[[#This Row],[Quantidade Inicial]]+Tabela4[[#This Row],[Quantidade Comprada]]-Tabela4[[#This Row],[Quantidade Vendida]]</calculatedColumnFormula>
    </tableColumn>
    <tableColumn id="7" xr3:uid="{8E394A85-4B8E-41E4-AB5E-B70EF3F2B49E}" name="Situação" dataDxfId="41">
      <calculatedColumnFormula>IF(Tabela4[[#This Row],[Quantidade Atual]]&lt;50,IF(Tabela4[[#This Row],[Quantidade Atual]]&lt;20,"Comprar","Atenção"),"OK")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F25E47-8408-4322-B72D-8C6B48098A7E}" name="Tabela5" displayName="Tabela5" ref="B4:M29" totalsRowShown="0">
  <autoFilter ref="B4:M29" xr:uid="{28F25E47-8408-4322-B72D-8C6B48098A7E}"/>
  <sortState xmlns:xlrd2="http://schemas.microsoft.com/office/spreadsheetml/2017/richdata2" ref="B5:M29">
    <sortCondition descending="1" ref="B4:B29"/>
  </sortState>
  <tableColumns count="12">
    <tableColumn id="1" xr3:uid="{89EEE14C-97E1-43C5-82A5-71537941DA25}" name="Id Venda"/>
    <tableColumn id="2" xr3:uid="{4D84A7C0-FDE0-4A4A-8685-CEFA5C5C0EFF}" name="Data" dataDxfId="40"/>
    <tableColumn id="3" xr3:uid="{24105AAA-F44F-4C4B-9FE1-F825FF9CEC97}" name="Produto"/>
    <tableColumn id="4" xr3:uid="{5D548FFC-2D65-4779-A575-929F70A31EF9}" name="Medida" dataDxfId="39">
      <calculatedColumnFormula>IFERROR(VLOOKUP(Tabela5[[#This Row],[Produto]],cálculos!$H$3:$K$26,4,FALSE),"")</calculatedColumnFormula>
    </tableColumn>
    <tableColumn id="5" xr3:uid="{5628E80B-9F15-41ED-9F33-D35C70416341}" name="Quantidade"/>
    <tableColumn id="6" xr3:uid="{0518086B-0AB3-486B-8C7E-B02F36BBB5F1}" name="Preco Unitario" dataDxfId="38" dataCellStyle="Moeda">
      <calculatedColumnFormula>IFERROR(VLOOKUP(Tabela5[[#This Row],[Produto]],cálculos!$H$3:$K$26,3,FALSE),0)</calculatedColumnFormula>
    </tableColumn>
    <tableColumn id="7" xr3:uid="{D262A429-172A-43D5-A6B3-F60321DBCB7D}" name="Subtotal" dataDxfId="37" dataCellStyle="Moeda">
      <calculatedColumnFormula>Tabela5[[#This Row],[Preco Unitario]]*Tabela5[[#This Row],[Quantidade]]</calculatedColumnFormula>
    </tableColumn>
    <tableColumn id="8" xr3:uid="{0908B1FD-5250-4E65-94C1-6E7D51BB1C88}" name="Desconto " dataCellStyle="Porcentagem"/>
    <tableColumn id="9" xr3:uid="{C3F1A35C-A3B0-4C54-BC68-26EE7B7B4AB0}" name="Entrega"/>
    <tableColumn id="10" xr3:uid="{5905FB92-511A-4DB0-810B-1DA6BC5D2F1F}" name="Valor de Entrega" dataDxfId="36" dataCellStyle="Moeda">
      <calculatedColumnFormula>IFERROR(IF(Tabela5[[#This Row],[Id Venda]]=B6,0,VLOOKUP(Tabela5[[#This Row],[Entrega]],cálculos!$B$2:$C$7,2,FALSE)),0)</calculatedColumnFormula>
    </tableColumn>
    <tableColumn id="11" xr3:uid="{98BE6865-3515-4AA9-88C5-2D814528A8B7}" name="Total" dataDxfId="35" dataCellStyle="Moeda">
      <calculatedColumnFormula>Tabela5[[#This Row],[Subtotal]]*(1-Tabela5[[#This Row],[Desconto ]])+Tabela5[[#This Row],[Valor de Entrega]]</calculatedColumnFormula>
    </tableColumn>
    <tableColumn id="12" xr3:uid="{F3EEB184-D4A9-40AC-AE61-309311BF1A70}" name="Total para Cliente" dataDxfId="34" dataCellStyle="Moeda">
      <calculatedColumnFormula>IF(Tabela5[[#This Row],[Id Venda]]=B6,"",SUMIF(Tabela5[Id Venda],Tabela5[[#This Row],[Id Venda]],Tabela5[Total]))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312760-4140-46DD-8610-039AC1EE5B27}" name="Tabela57" displayName="Tabela57" ref="B4:M14" totalsRowShown="0">
  <autoFilter ref="B4:M14" xr:uid="{02312760-4140-46DD-8610-039AC1EE5B27}"/>
  <tableColumns count="12">
    <tableColumn id="1" xr3:uid="{983F0817-9741-4CC4-8D8A-0EE61EA6493B}" name="Id Venda"/>
    <tableColumn id="2" xr3:uid="{D7B7F956-19DA-4FAC-9397-06B2F95DEB9F}" name="Data"/>
    <tableColumn id="3" xr3:uid="{9A4F72FF-C86E-4A14-A949-8130E784D06F}" name="Produto"/>
    <tableColumn id="4" xr3:uid="{8F2B51F9-7DB2-42FE-B852-8E52193D5B7B}" name="Medida" dataDxfId="33">
      <calculatedColumnFormula>IFERROR(VLOOKUP(Tabela57[[#This Row],[Produto]],cálculos!$H$3:$K$26,4,FALSE),"")</calculatedColumnFormula>
    </tableColumn>
    <tableColumn id="5" xr3:uid="{F773FDC4-3A09-4C4B-A063-9D09A5567682}" name="Quantidade"/>
    <tableColumn id="6" xr3:uid="{B18F5BC9-189E-4A2E-B50D-EF5AD0BB2A02}" name="Preco Unitario" dataDxfId="32" dataCellStyle="Moeda">
      <calculatedColumnFormula>IFERROR(VLOOKUP(Tabela57[[#This Row],[Produto]],cálculos!$H$3:$K$26,3,FALSE),0)</calculatedColumnFormula>
    </tableColumn>
    <tableColumn id="7" xr3:uid="{DD8D68D1-6484-48FF-A1B0-0614C1221F3C}" name="Subtotal" dataDxfId="31" dataCellStyle="Moeda">
      <calculatedColumnFormula>Tabela57[[#This Row],[Preco Unitario]]*Tabela57[[#This Row],[Quantidade]]</calculatedColumnFormula>
    </tableColumn>
    <tableColumn id="8" xr3:uid="{2AA5AB24-1AA4-4E1F-8E1B-B8BA002324FF}" name="Desconto " dataCellStyle="Porcentagem"/>
    <tableColumn id="9" xr3:uid="{D2657B46-E6D3-4F7E-8278-F358975DB351}" name="Entrega"/>
    <tableColumn id="10" xr3:uid="{D1FE301B-DBE0-482E-941F-05DF1123F79E}" name="Valor de Entrega" dataDxfId="30" dataCellStyle="Moeda">
      <calculatedColumnFormula>IFERROR(VLOOKUP(Tabela57[[#This Row],[Entrega]],cálculos!$B$2:$C$7,2,FALSE),0)</calculatedColumnFormula>
    </tableColumn>
    <tableColumn id="11" xr3:uid="{A6BA8816-4808-489B-AFEC-5C8B943FA8A5}" name="Total" dataDxfId="29" dataCellStyle="Moeda">
      <calculatedColumnFormula>Tabela57[[#This Row],[Subtotal]]*(1-Tabela57[[#This Row],[Desconto ]])+Tabela57[[#This Row],[Valor de Entrega]]</calculatedColumnFormula>
    </tableColumn>
    <tableColumn id="12" xr3:uid="{7BC39CD1-0EB3-4C72-B43C-793FAB079D7A}" name="Total para Cliente" dataDxfId="28" dataCellStyle="Moeda">
      <calculatedColumnFormula>IF(Tabela57[[#This Row],[Id Venda]]=B6,"",SUMIF(Tabela57[Id Venda],Tabela57[[#This Row],[Id Venda]],Tabela57[Total]))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D8CEC80-4980-43C5-8069-783B02FB2CE3}" name="Tabela58" displayName="Tabela58" ref="B4:M13" totalsRowShown="0">
  <autoFilter ref="B4:M13" xr:uid="{BD8CEC80-4980-43C5-8069-783B02FB2CE3}"/>
  <tableColumns count="12">
    <tableColumn id="1" xr3:uid="{1DEDBE95-B021-499A-871A-10438D98F79E}" name="Id Venda"/>
    <tableColumn id="2" xr3:uid="{3C50A27B-6013-4015-8080-BE0731C8AFA1}" name="Data"/>
    <tableColumn id="3" xr3:uid="{7404533A-ACBD-401C-B117-146CE771CD6D}" name="Produto"/>
    <tableColumn id="4" xr3:uid="{4A4014A3-4A50-4D52-A5F8-5E0F3BC921D0}" name="Medida" dataDxfId="27">
      <calculatedColumnFormula>IFERROR(VLOOKUP(Tabela58[[#This Row],[Produto]],cálculos!$H$3:$K$26,4,FALSE),"")</calculatedColumnFormula>
    </tableColumn>
    <tableColumn id="5" xr3:uid="{FB38B080-E3ED-4E02-BF55-16C1CF10469E}" name="Quantidade"/>
    <tableColumn id="6" xr3:uid="{F89D4AA7-B7C3-42A6-92E2-2F5B63FCC017}" name="Preco Unitario" dataDxfId="26" dataCellStyle="Moeda">
      <calculatedColumnFormula>IFERROR(VLOOKUP(Tabela58[[#This Row],[Produto]],cálculos!$H$3:$K$26,3,FALSE),0)</calculatedColumnFormula>
    </tableColumn>
    <tableColumn id="7" xr3:uid="{EF37FAE9-F8B6-4523-A3F6-76B6D634722F}" name="Subtotal" dataDxfId="25" dataCellStyle="Moeda">
      <calculatedColumnFormula>Tabela58[[#This Row],[Preco Unitario]]*Tabela58[[#This Row],[Quantidade]]</calculatedColumnFormula>
    </tableColumn>
    <tableColumn id="8" xr3:uid="{C8D7BE10-7C6D-4E12-B83A-174A24B74E11}" name="Desconto " dataCellStyle="Porcentagem"/>
    <tableColumn id="9" xr3:uid="{CC6D0CE8-6294-45A3-B637-01DBEB5B2F10}" name="Entrega"/>
    <tableColumn id="10" xr3:uid="{4EB0C903-1F51-480B-B75E-10BF1A111516}" name="Valor de Entrega" dataDxfId="24" dataCellStyle="Moeda">
      <calculatedColumnFormula>IFERROR(VLOOKUP(Tabela58[[#This Row],[Entrega]],cálculos!$B$2:$C$7,2,FALSE),0)</calculatedColumnFormula>
    </tableColumn>
    <tableColumn id="11" xr3:uid="{4EAFE552-AAE5-4526-B45C-998BBFB6CE37}" name="Total" dataDxfId="23" dataCellStyle="Moeda">
      <calculatedColumnFormula>Tabela58[[#This Row],[Subtotal]]*(1-Tabela58[[#This Row],[Desconto ]])+Tabela58[[#This Row],[Valor de Entrega]]</calculatedColumnFormula>
    </tableColumn>
    <tableColumn id="12" xr3:uid="{CFA585BB-0204-4C1D-AED8-10B3F56C0A48}" name="Total para Cliente" dataDxfId="22" dataCellStyle="Moeda">
      <calculatedColumnFormula>IF(Tabela58[[#This Row],[Id Venda]]=B6,"",SUMIF(Tabela58[Id Venda],Tabela58[[#This Row],[Id Venda]],Tabela58[Total]))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4045DCB-A6AC-46B7-A5EB-216E2E75EB1A}" name="Tabela59" displayName="Tabela59" ref="B4:M13" totalsRowShown="0">
  <autoFilter ref="B4:M13" xr:uid="{34045DCB-A6AC-46B7-A5EB-216E2E75EB1A}"/>
  <tableColumns count="12">
    <tableColumn id="1" xr3:uid="{91E29837-D23C-40B9-ABB4-5AD1B25C41EE}" name="Id Venda"/>
    <tableColumn id="2" xr3:uid="{665E193C-8342-45EE-AD79-C18130E8E4EE}" name="Data"/>
    <tableColumn id="3" xr3:uid="{C355E058-2B10-490C-A6B5-CF2E4A97EFF9}" name="Produto"/>
    <tableColumn id="4" xr3:uid="{EEF56C76-C28E-45FA-90B2-66314F3F50D0}" name="Medida" dataDxfId="21">
      <calculatedColumnFormula>IFERROR(VLOOKUP(Tabela59[[#This Row],[Produto]],cálculos!$H$3:$K$26,4,FALSE),"")</calculatedColumnFormula>
    </tableColumn>
    <tableColumn id="5" xr3:uid="{A2F666DF-AE6A-45DE-9F04-D3DF9F01CBC6}" name="Quantidade"/>
    <tableColumn id="6" xr3:uid="{043B85CA-E070-4BAF-A168-431126BD013E}" name="Preco Unitario" dataDxfId="20" dataCellStyle="Moeda">
      <calculatedColumnFormula>IFERROR(VLOOKUP(Tabela59[[#This Row],[Produto]],cálculos!$H$3:$K$26,3,FALSE),0)</calculatedColumnFormula>
    </tableColumn>
    <tableColumn id="7" xr3:uid="{9344FF8E-8134-41CA-89E1-83E0E255FFC2}" name="Subtotal" dataDxfId="19" dataCellStyle="Moeda">
      <calculatedColumnFormula>Tabela59[[#This Row],[Preco Unitario]]*Tabela59[[#This Row],[Quantidade]]</calculatedColumnFormula>
    </tableColumn>
    <tableColumn id="8" xr3:uid="{16935228-8F68-4DF4-A200-A4523FDAC0E0}" name="Desconto " dataCellStyle="Porcentagem"/>
    <tableColumn id="9" xr3:uid="{39BCFE54-8491-4065-941C-F9FE39FBF8A2}" name="Entrega"/>
    <tableColumn id="10" xr3:uid="{A478B1DD-D279-473E-8967-DE83AA39F189}" name="Valor de Entrega" dataDxfId="18" dataCellStyle="Moeda">
      <calculatedColumnFormula>IFERROR(VLOOKUP(Tabela59[[#This Row],[Entrega]],cálculos!$B$2:$C$7,2,FALSE),0)</calculatedColumnFormula>
    </tableColumn>
    <tableColumn id="11" xr3:uid="{027A1208-5A12-42E1-8072-C6EF2E50E390}" name="Total" dataDxfId="17" dataCellStyle="Moeda">
      <calculatedColumnFormula>Tabela59[[#This Row],[Subtotal]]*(1-Tabela59[[#This Row],[Desconto ]])+Tabela59[[#This Row],[Valor de Entrega]]</calculatedColumnFormula>
    </tableColumn>
    <tableColumn id="12" xr3:uid="{58F9D263-5A82-4A55-9A59-84D12AE655D1}" name="Total para Cliente" dataDxfId="16" dataCellStyle="Moeda">
      <calculatedColumnFormula>IF(Tabela59[[#This Row],[Id Venda]]=B6,"",SUMIF(Tabela59[Id Venda],Tabela59[[#This Row],[Id Venda]],Tabela59[Total]))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C357F5F-9544-4839-A45B-AF44811623C2}" name="Tabela5910" displayName="Tabela5910" ref="B4:M13" totalsRowShown="0">
  <autoFilter ref="B4:M13" xr:uid="{1C357F5F-9544-4839-A45B-AF44811623C2}"/>
  <tableColumns count="12">
    <tableColumn id="1" xr3:uid="{78C8A6CF-49F8-4ED1-92DD-4257F88C5E6C}" name="Id Venda" dataDxfId="8">
      <calculatedColumnFormula>SUM(B6+1)</calculatedColumnFormula>
    </tableColumn>
    <tableColumn id="2" xr3:uid="{AA5809F6-EB7A-4DDC-8314-378BC98A6362}" name="Data"/>
    <tableColumn id="3" xr3:uid="{3B648848-B9B1-49AA-9C12-421F19D26432}" name="Produto"/>
    <tableColumn id="4" xr3:uid="{EBE1DA3B-4972-43DE-9CAE-0B2E921F97CB}" name="Medida" dataDxfId="15">
      <calculatedColumnFormula>IFERROR(VLOOKUP(Tabela5910[[#This Row],[Produto]],cálculos!$H$3:$K$26,4,FALSE),"")</calculatedColumnFormula>
    </tableColumn>
    <tableColumn id="5" xr3:uid="{67A1E3F9-93B8-4FFB-9515-5C867CCD91A7}" name="Quantidade"/>
    <tableColumn id="6" xr3:uid="{270318CB-E2B1-4612-B695-A65E9D6591C9}" name="Preco Unitario" dataDxfId="14" dataCellStyle="Moeda">
      <calculatedColumnFormula>IFERROR(VLOOKUP(Tabela5910[[#This Row],[Produto]],cálculos!$H$3:$K$26,3,FALSE),0)</calculatedColumnFormula>
    </tableColumn>
    <tableColumn id="7" xr3:uid="{4AA80887-E896-479D-9D53-54351DEDD267}" name="Subtotal" dataDxfId="13" dataCellStyle="Moeda">
      <calculatedColumnFormula>Tabela5910[[#This Row],[Preco Unitario]]*Tabela5910[[#This Row],[Quantidade]]</calculatedColumnFormula>
    </tableColumn>
    <tableColumn id="8" xr3:uid="{7C003258-1C83-42F2-8AF4-9C2DE2C7E11F}" name="Desconto " dataCellStyle="Porcentagem"/>
    <tableColumn id="9" xr3:uid="{57BAF287-BD19-4C30-A50C-5DFCA005A552}" name="Entrega"/>
    <tableColumn id="10" xr3:uid="{7D72AA2F-1BF8-4876-9850-D630D0D93F6F}" name="Valor de Entrega" dataDxfId="12" dataCellStyle="Moeda">
      <calculatedColumnFormula>IFERROR(VLOOKUP(Tabela5910[[#This Row],[Entrega]],cálculos!$B$2:$C$7,2,FALSE),0)</calculatedColumnFormula>
    </tableColumn>
    <tableColumn id="11" xr3:uid="{B3368BEE-34A7-4067-BDB5-A1C2BB6EE9B6}" name="Total" dataDxfId="11" dataCellStyle="Moeda">
      <calculatedColumnFormula>Tabela5910[[#This Row],[Subtotal]]*(1-Tabela5910[[#This Row],[Desconto ]])+Tabela5910[[#This Row],[Valor de Entrega]]</calculatedColumnFormula>
    </tableColumn>
    <tableColumn id="12" xr3:uid="{EE3E48B6-8F2A-4D3D-8B62-90501B1BE983}" name="Total para Cliente" dataDxfId="10" dataCellStyle="Moeda">
      <calculatedColumnFormula>IF(Tabela5910[[#This Row],[Id Venda]]=B6,"",SUMIF(Tabela5910[Id Venda],Tabela5910[[#This Row],[Id Venda]],Tabela5910[Total]))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I33"/>
  <sheetViews>
    <sheetView showGridLines="0" workbookViewId="0"/>
  </sheetViews>
  <sheetFormatPr defaultRowHeight="14.4" x14ac:dyDescent="0.3"/>
  <cols>
    <col min="2" max="2" width="46.5546875" bestFit="1" customWidth="1"/>
    <col min="3" max="3" width="24.21875" bestFit="1" customWidth="1"/>
    <col min="4" max="4" width="11.21875" customWidth="1"/>
    <col min="5" max="5" width="24" bestFit="1" customWidth="1"/>
    <col min="6" max="6" width="22.21875" customWidth="1"/>
    <col min="7" max="7" width="19.5546875" bestFit="1" customWidth="1"/>
  </cols>
  <sheetData>
    <row r="2" spans="2:7" s="1" customFormat="1" ht="21" x14ac:dyDescent="0.4">
      <c r="B2" s="2" t="s">
        <v>39</v>
      </c>
    </row>
    <row r="3" spans="2:7" ht="30" customHeight="1" x14ac:dyDescent="0.3"/>
    <row r="4" spans="2:7" x14ac:dyDescent="0.3">
      <c r="B4" t="s">
        <v>40</v>
      </c>
      <c r="C4" t="s">
        <v>41</v>
      </c>
      <c r="D4" t="s">
        <v>42</v>
      </c>
      <c r="E4" t="s">
        <v>43</v>
      </c>
      <c r="F4" t="s">
        <v>44</v>
      </c>
      <c r="G4" t="s">
        <v>45</v>
      </c>
    </row>
    <row r="5" spans="2:7" x14ac:dyDescent="0.3">
      <c r="B5" t="s">
        <v>3</v>
      </c>
      <c r="F5" s="3"/>
      <c r="G5" s="3">
        <v>1000</v>
      </c>
    </row>
    <row r="6" spans="2:7" x14ac:dyDescent="0.3">
      <c r="B6" t="s">
        <v>38</v>
      </c>
      <c r="F6" s="3"/>
      <c r="G6" s="3">
        <f>SUM(F7:F11)</f>
        <v>17500</v>
      </c>
    </row>
    <row r="7" spans="2:7" x14ac:dyDescent="0.3">
      <c r="C7" t="s">
        <v>8</v>
      </c>
      <c r="F7" s="3">
        <v>10000</v>
      </c>
      <c r="G7" s="3"/>
    </row>
    <row r="8" spans="2:7" x14ac:dyDescent="0.3">
      <c r="C8" t="s">
        <v>9</v>
      </c>
      <c r="F8" s="3">
        <v>500</v>
      </c>
      <c r="G8" s="3"/>
    </row>
    <row r="9" spans="2:7" x14ac:dyDescent="0.3">
      <c r="C9" t="s">
        <v>1</v>
      </c>
      <c r="F9" s="3">
        <v>3000</v>
      </c>
      <c r="G9" s="3"/>
    </row>
    <row r="10" spans="2:7" x14ac:dyDescent="0.3">
      <c r="C10" t="s">
        <v>10</v>
      </c>
      <c r="F10" s="3">
        <v>2500</v>
      </c>
      <c r="G10" s="3"/>
    </row>
    <row r="11" spans="2:7" x14ac:dyDescent="0.3">
      <c r="C11" t="s">
        <v>5</v>
      </c>
      <c r="E11" t="s">
        <v>50</v>
      </c>
      <c r="F11" s="3">
        <v>1500</v>
      </c>
      <c r="G11" s="3"/>
    </row>
    <row r="12" spans="2:7" x14ac:dyDescent="0.3">
      <c r="B12" t="s">
        <v>0</v>
      </c>
      <c r="F12" s="3"/>
      <c r="G12" s="3">
        <v>900</v>
      </c>
    </row>
    <row r="13" spans="2:7" x14ac:dyDescent="0.3">
      <c r="B13" t="s">
        <v>1</v>
      </c>
      <c r="F13" s="3"/>
      <c r="G13" s="3">
        <v>6000</v>
      </c>
    </row>
    <row r="14" spans="2:7" x14ac:dyDescent="0.3">
      <c r="B14" t="s">
        <v>40</v>
      </c>
      <c r="F14" s="3"/>
      <c r="G14" s="3">
        <f>SUM(F15:F19)</f>
        <v>5300</v>
      </c>
    </row>
    <row r="15" spans="2:7" x14ac:dyDescent="0.3">
      <c r="C15" t="s">
        <v>46</v>
      </c>
      <c r="F15" s="3">
        <v>800</v>
      </c>
      <c r="G15" s="3"/>
    </row>
    <row r="16" spans="2:7" x14ac:dyDescent="0.3">
      <c r="C16" t="s">
        <v>47</v>
      </c>
      <c r="F16" s="3">
        <v>3200</v>
      </c>
      <c r="G16" s="3"/>
    </row>
    <row r="17" spans="2:9" x14ac:dyDescent="0.3">
      <c r="C17" t="s">
        <v>48</v>
      </c>
      <c r="F17" s="3">
        <v>500</v>
      </c>
      <c r="G17" s="3"/>
    </row>
    <row r="18" spans="2:9" x14ac:dyDescent="0.3">
      <c r="C18" t="s">
        <v>49</v>
      </c>
      <c r="F18" s="3">
        <v>800</v>
      </c>
      <c r="G18" s="3"/>
    </row>
    <row r="19" spans="2:9" x14ac:dyDescent="0.3">
      <c r="C19" t="s">
        <v>5</v>
      </c>
      <c r="F19" s="3">
        <v>0</v>
      </c>
      <c r="G19" s="3"/>
    </row>
    <row r="20" spans="2:9" x14ac:dyDescent="0.3">
      <c r="B20" t="s">
        <v>2</v>
      </c>
      <c r="F20" s="3"/>
      <c r="G20" s="3">
        <v>300</v>
      </c>
    </row>
    <row r="21" spans="2:9" x14ac:dyDescent="0.3">
      <c r="B21" t="s">
        <v>12</v>
      </c>
      <c r="F21" s="3"/>
      <c r="G21" s="3">
        <f>SUM(F22:F27)</f>
        <v>11950</v>
      </c>
    </row>
    <row r="22" spans="2:9" x14ac:dyDescent="0.3">
      <c r="C22" t="s">
        <v>13</v>
      </c>
      <c r="F22" s="3">
        <v>1650</v>
      </c>
      <c r="G22" s="3"/>
    </row>
    <row r="23" spans="2:9" x14ac:dyDescent="0.3">
      <c r="C23" t="s">
        <v>14</v>
      </c>
      <c r="F23" s="3">
        <v>3000</v>
      </c>
      <c r="G23" s="3"/>
    </row>
    <row r="24" spans="2:9" x14ac:dyDescent="0.3">
      <c r="C24" t="s">
        <v>15</v>
      </c>
      <c r="F24" s="3">
        <v>3000</v>
      </c>
      <c r="G24" s="3"/>
    </row>
    <row r="25" spans="2:9" x14ac:dyDescent="0.3">
      <c r="C25" t="s">
        <v>16</v>
      </c>
      <c r="F25" s="3">
        <v>2700</v>
      </c>
      <c r="G25" s="3"/>
    </row>
    <row r="26" spans="2:9" x14ac:dyDescent="0.3">
      <c r="C26" t="s">
        <v>11</v>
      </c>
      <c r="F26" s="3">
        <v>1500</v>
      </c>
      <c r="G26" s="3"/>
    </row>
    <row r="27" spans="2:9" x14ac:dyDescent="0.3">
      <c r="C27" t="s">
        <v>5</v>
      </c>
      <c r="F27" s="3">
        <v>100</v>
      </c>
      <c r="G27" s="3"/>
    </row>
    <row r="28" spans="2:9" x14ac:dyDescent="0.3">
      <c r="B28" t="s">
        <v>4</v>
      </c>
      <c r="F28" s="3"/>
      <c r="G28" s="3">
        <v>1500</v>
      </c>
    </row>
    <row r="29" spans="2:9" x14ac:dyDescent="0.3">
      <c r="B29" t="s">
        <v>5</v>
      </c>
      <c r="F29" s="3"/>
      <c r="G29" s="3">
        <v>957</v>
      </c>
    </row>
    <row r="31" spans="2:9" ht="18" x14ac:dyDescent="0.35">
      <c r="B31" s="4" t="s">
        <v>51</v>
      </c>
      <c r="C31" s="4"/>
      <c r="D31" s="4"/>
      <c r="E31" s="4"/>
      <c r="F31" s="4"/>
      <c r="G31" s="5">
        <f>SUM(Tabela1[Valor Final])</f>
        <v>45407</v>
      </c>
    </row>
    <row r="32" spans="2:9" ht="18" x14ac:dyDescent="0.35">
      <c r="B32" s="4" t="s">
        <v>84</v>
      </c>
      <c r="C32" s="4"/>
      <c r="D32" s="4"/>
      <c r="E32" s="4"/>
      <c r="F32" s="4"/>
      <c r="G32" s="5">
        <f>'Controle Mercadorias'!I28</f>
        <v>14147.651</v>
      </c>
      <c r="I32" s="5"/>
    </row>
    <row r="33" spans="2:7" ht="21" x14ac:dyDescent="0.4">
      <c r="B33" s="10" t="s">
        <v>85</v>
      </c>
      <c r="C33" s="10"/>
      <c r="D33" s="10"/>
      <c r="E33" s="10"/>
      <c r="F33" s="10"/>
      <c r="G33" s="11">
        <f>SUM(G31:G32)</f>
        <v>59554.650999999998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28"/>
  <sheetViews>
    <sheetView showGridLines="0" workbookViewId="0">
      <selection activeCell="B5" sqref="B5"/>
    </sheetView>
  </sheetViews>
  <sheetFormatPr defaultRowHeight="14.4" x14ac:dyDescent="0.3"/>
  <cols>
    <col min="2" max="2" width="14" customWidth="1"/>
    <col min="3" max="3" width="28.21875" bestFit="1" customWidth="1"/>
    <col min="4" max="4" width="16.33203125" customWidth="1"/>
    <col min="5" max="5" width="11.5546875" customWidth="1"/>
    <col min="6" max="6" width="16.77734375" customWidth="1"/>
    <col min="7" max="7" width="18" customWidth="1"/>
    <col min="8" max="8" width="14" customWidth="1"/>
    <col min="9" max="9" width="16.88671875" customWidth="1"/>
  </cols>
  <sheetData>
    <row r="2" spans="2:9" s="1" customFormat="1" ht="21" x14ac:dyDescent="0.4">
      <c r="B2" s="2" t="s">
        <v>52</v>
      </c>
    </row>
    <row r="3" spans="2:9" ht="30" customHeight="1" x14ac:dyDescent="0.3"/>
    <row r="4" spans="2:9" x14ac:dyDescent="0.3">
      <c r="B4" t="s">
        <v>42</v>
      </c>
      <c r="C4" t="s">
        <v>53</v>
      </c>
      <c r="D4" t="s">
        <v>54</v>
      </c>
      <c r="E4" t="s">
        <v>55</v>
      </c>
      <c r="F4" t="s">
        <v>56</v>
      </c>
      <c r="G4" t="s">
        <v>57</v>
      </c>
      <c r="H4" t="s">
        <v>58</v>
      </c>
      <c r="I4" t="s">
        <v>59</v>
      </c>
    </row>
    <row r="5" spans="2:9" x14ac:dyDescent="0.3">
      <c r="B5" s="9">
        <v>42190</v>
      </c>
      <c r="C5" t="s">
        <v>74</v>
      </c>
      <c r="D5" t="s">
        <v>32</v>
      </c>
      <c r="E5" t="str">
        <f>IFERROR(VLOOKUP(Tabela2[[#This Row],[Mercadoria]],cálculos!$H$3:$K$33,4,),"")</f>
        <v>Unidade</v>
      </c>
      <c r="F5">
        <v>50</v>
      </c>
      <c r="G5" s="3">
        <f>IFERROR(VLOOKUP(Tabela2[[#This Row],[Mercadoria]],cálculos!$H$3:$K$33,2,),"")</f>
        <v>2.3660000000000001</v>
      </c>
      <c r="H5" s="6">
        <v>0.05</v>
      </c>
      <c r="I5" s="3">
        <f>Tabela2[[#This Row],[Quantidade]]*Tabela2[[#This Row],[Preço Unitario]]*(1-Tabela2[[#This Row],[Desconto]])</f>
        <v>112.38500000000001</v>
      </c>
    </row>
    <row r="6" spans="2:9" x14ac:dyDescent="0.3">
      <c r="B6" s="9">
        <v>42190</v>
      </c>
      <c r="C6" t="s">
        <v>75</v>
      </c>
      <c r="D6" t="s">
        <v>18</v>
      </c>
      <c r="E6" t="str">
        <f>IFERROR(VLOOKUP(Tabela2[[#This Row],[Mercadoria]],cálculos!$H$3:$K$33,4,),"")</f>
        <v>Kg</v>
      </c>
      <c r="F6">
        <v>120</v>
      </c>
      <c r="G6" s="3">
        <f>IFERROR(VLOOKUP(Tabela2[[#This Row],[Mercadoria]],cálculos!$H$3:$K$33,2,),"")</f>
        <v>4.0659999999999998</v>
      </c>
      <c r="H6" s="6"/>
      <c r="I6" s="3">
        <f>Tabela2[[#This Row],[Quantidade]]*Tabela2[[#This Row],[Preço Unitario]]*(1-Tabela2[[#This Row],[Desconto]])</f>
        <v>487.91999999999996</v>
      </c>
    </row>
    <row r="7" spans="2:9" x14ac:dyDescent="0.3">
      <c r="B7" s="9">
        <v>42189</v>
      </c>
      <c r="C7" t="s">
        <v>75</v>
      </c>
      <c r="D7" t="s">
        <v>18</v>
      </c>
      <c r="E7" t="str">
        <f>IFERROR(VLOOKUP(Tabela2[[#This Row],[Mercadoria]],cálculos!$H$3:$K$33,4,),"")</f>
        <v>Kg</v>
      </c>
      <c r="F7">
        <v>150</v>
      </c>
      <c r="G7" s="3">
        <f>IFERROR(VLOOKUP(Tabela2[[#This Row],[Mercadoria]],cálculos!$H$3:$K$33,2,),"")</f>
        <v>4.0659999999999998</v>
      </c>
      <c r="H7" s="6"/>
      <c r="I7" s="3">
        <f>Tabela2[[#This Row],[Quantidade]]*Tabela2[[#This Row],[Preço Unitario]]*(1-Tabela2[[#This Row],[Desconto]])</f>
        <v>609.9</v>
      </c>
    </row>
    <row r="8" spans="2:9" x14ac:dyDescent="0.3">
      <c r="B8" s="9">
        <v>42189</v>
      </c>
      <c r="C8" t="s">
        <v>75</v>
      </c>
      <c r="D8" t="s">
        <v>17</v>
      </c>
      <c r="E8" t="str">
        <f>IFERROR(VLOOKUP(Tabela2[[#This Row],[Mercadoria]],cálculos!$H$3:$K$33,4,),"")</f>
        <v>Kg</v>
      </c>
      <c r="F8">
        <v>150</v>
      </c>
      <c r="G8" s="3">
        <f>IFERROR(VLOOKUP(Tabela2[[#This Row],[Mercadoria]],cálculos!$H$3:$K$33,2,),"")</f>
        <v>2.3406000000000002</v>
      </c>
      <c r="H8" s="6"/>
      <c r="I8" s="3">
        <f>Tabela2[[#This Row],[Quantidade]]*Tabela2[[#This Row],[Preço Unitario]]*(1-Tabela2[[#This Row],[Desconto]])</f>
        <v>351.09000000000003</v>
      </c>
    </row>
    <row r="9" spans="2:9" x14ac:dyDescent="0.3">
      <c r="B9" s="9">
        <v>42189</v>
      </c>
      <c r="C9" t="s">
        <v>76</v>
      </c>
      <c r="D9" t="s">
        <v>30</v>
      </c>
      <c r="E9" t="str">
        <f>IFERROR(VLOOKUP(Tabela2[[#This Row],[Mercadoria]],cálculos!$H$3:$K$33,4,),"")</f>
        <v>Lata</v>
      </c>
      <c r="F9">
        <v>100</v>
      </c>
      <c r="G9" s="3">
        <f>IFERROR(VLOOKUP(Tabela2[[#This Row],[Mercadoria]],cálculos!$H$3:$K$33,2,),"")</f>
        <v>2.1023999999999998</v>
      </c>
      <c r="H9" s="6"/>
      <c r="I9" s="3">
        <f>Tabela2[[#This Row],[Quantidade]]*Tabela2[[#This Row],[Preço Unitario]]*(1-Tabela2[[#This Row],[Desconto]])</f>
        <v>210.23999999999998</v>
      </c>
    </row>
    <row r="10" spans="2:9" x14ac:dyDescent="0.3">
      <c r="B10" s="9">
        <v>42189</v>
      </c>
      <c r="C10" t="s">
        <v>76</v>
      </c>
      <c r="D10" t="s">
        <v>26</v>
      </c>
      <c r="E10" t="str">
        <f>IFERROR(VLOOKUP(Tabela2[[#This Row],[Mercadoria]],cálculos!$H$3:$K$33,4,),"")</f>
        <v>Litro</v>
      </c>
      <c r="F10">
        <v>200</v>
      </c>
      <c r="G10" s="3">
        <f>IFERROR(VLOOKUP(Tabela2[[#This Row],[Mercadoria]],cálculos!$H$3:$K$33,2,),"")</f>
        <v>3.2084999999999999</v>
      </c>
      <c r="H10" s="6"/>
      <c r="I10" s="3">
        <f>Tabela2[[#This Row],[Quantidade]]*Tabela2[[#This Row],[Preço Unitario]]*(1-Tabela2[[#This Row],[Desconto]])</f>
        <v>641.69999999999993</v>
      </c>
    </row>
    <row r="11" spans="2:9" x14ac:dyDescent="0.3">
      <c r="B11" s="9">
        <v>42188</v>
      </c>
      <c r="C11" t="s">
        <v>77</v>
      </c>
      <c r="D11" t="s">
        <v>36</v>
      </c>
      <c r="E11" t="str">
        <f>IFERROR(VLOOKUP(Tabela2[[#This Row],[Mercadoria]],cálculos!$H$3:$K$33,4,),"")</f>
        <v>Maço</v>
      </c>
      <c r="F11">
        <v>100</v>
      </c>
      <c r="G11" s="3">
        <f>IFERROR(VLOOKUP(Tabela2[[#This Row],[Mercadoria]],cálculos!$H$3:$K$33,2,),"")</f>
        <v>6.3449999999999998</v>
      </c>
      <c r="H11" s="6"/>
      <c r="I11" s="3">
        <f>Tabela2[[#This Row],[Quantidade]]*Tabela2[[#This Row],[Preço Unitario]]*(1-Tabela2[[#This Row],[Desconto]])</f>
        <v>634.5</v>
      </c>
    </row>
    <row r="12" spans="2:9" x14ac:dyDescent="0.3">
      <c r="B12" s="9">
        <v>42188</v>
      </c>
      <c r="C12" t="s">
        <v>78</v>
      </c>
      <c r="D12" t="s">
        <v>35</v>
      </c>
      <c r="E12" t="str">
        <f>IFERROR(VLOOKUP(Tabela2[[#This Row],[Mercadoria]],cálculos!$H$3:$K$33,4,),"")</f>
        <v>Barra</v>
      </c>
      <c r="F12">
        <v>100</v>
      </c>
      <c r="G12" s="3">
        <f>IFERROR(VLOOKUP(Tabela2[[#This Row],[Mercadoria]],cálculos!$H$3:$K$33,2,),"")</f>
        <v>4.5409000000000006</v>
      </c>
      <c r="H12" s="6"/>
      <c r="I12" s="3">
        <f>Tabela2[[#This Row],[Quantidade]]*Tabela2[[#This Row],[Preço Unitario]]*(1-Tabela2[[#This Row],[Desconto]])</f>
        <v>454.09000000000003</v>
      </c>
    </row>
    <row r="13" spans="2:9" x14ac:dyDescent="0.3">
      <c r="B13" s="9">
        <v>42188</v>
      </c>
      <c r="C13" t="s">
        <v>75</v>
      </c>
      <c r="D13" t="s">
        <v>18</v>
      </c>
      <c r="E13" t="str">
        <f>IFERROR(VLOOKUP(Tabela2[[#This Row],[Mercadoria]],cálculos!$H$3:$K$33,4,),"")</f>
        <v>Kg</v>
      </c>
      <c r="F13">
        <v>300</v>
      </c>
      <c r="G13" s="3">
        <f>IFERROR(VLOOKUP(Tabela2[[#This Row],[Mercadoria]],cálculos!$H$3:$K$33,2,),"")</f>
        <v>4.0659999999999998</v>
      </c>
      <c r="H13" s="6"/>
      <c r="I13" s="3">
        <f>Tabela2[[#This Row],[Quantidade]]*Tabela2[[#This Row],[Preço Unitario]]*(1-Tabela2[[#This Row],[Desconto]])</f>
        <v>1219.8</v>
      </c>
    </row>
    <row r="14" spans="2:9" x14ac:dyDescent="0.3">
      <c r="B14" s="9">
        <v>42188</v>
      </c>
      <c r="C14" t="s">
        <v>75</v>
      </c>
      <c r="D14" t="s">
        <v>29</v>
      </c>
      <c r="E14" t="str">
        <f>IFERROR(VLOOKUP(Tabela2[[#This Row],[Mercadoria]],cálculos!$H$3:$K$33,4,),"")</f>
        <v>Pacote</v>
      </c>
      <c r="F14">
        <v>50</v>
      </c>
      <c r="G14" s="3">
        <f>IFERROR(VLOOKUP(Tabela2[[#This Row],[Mercadoria]],cálculos!$H$3:$K$33,2,),"")</f>
        <v>1.0580000000000001</v>
      </c>
      <c r="H14" s="6"/>
      <c r="I14" s="3">
        <f>Tabela2[[#This Row],[Quantidade]]*Tabela2[[#This Row],[Preço Unitario]]*(1-Tabela2[[#This Row],[Desconto]])</f>
        <v>52.900000000000006</v>
      </c>
    </row>
    <row r="15" spans="2:9" x14ac:dyDescent="0.3">
      <c r="B15" s="9">
        <v>42188</v>
      </c>
      <c r="C15" t="s">
        <v>79</v>
      </c>
      <c r="D15" t="s">
        <v>71</v>
      </c>
      <c r="E15" t="str">
        <f>IFERROR(VLOOKUP(Tabela2[[#This Row],[Mercadoria]],cálculos!$H$3:$K$33,4,),"")</f>
        <v>Unidade</v>
      </c>
      <c r="F15">
        <v>300</v>
      </c>
      <c r="G15" s="3">
        <f>IFERROR(VLOOKUP(Tabela2[[#This Row],[Mercadoria]],cálculos!$H$3:$K$33,2,),"")</f>
        <v>2.6299000000000001</v>
      </c>
      <c r="H15" s="6"/>
      <c r="I15" s="3">
        <f>Tabela2[[#This Row],[Quantidade]]*Tabela2[[#This Row],[Preço Unitario]]*(1-Tabela2[[#This Row],[Desconto]])</f>
        <v>788.97</v>
      </c>
    </row>
    <row r="16" spans="2:9" x14ac:dyDescent="0.3">
      <c r="B16" s="9">
        <v>42188</v>
      </c>
      <c r="C16" t="s">
        <v>78</v>
      </c>
      <c r="D16" t="s">
        <v>34</v>
      </c>
      <c r="E16" t="str">
        <f>IFERROR(VLOOKUP(Tabela2[[#This Row],[Mercadoria]],cálculos!$H$3:$K$33,4,),"")</f>
        <v>Pacote</v>
      </c>
      <c r="F16">
        <v>100</v>
      </c>
      <c r="G16" s="3">
        <f>IFERROR(VLOOKUP(Tabela2[[#This Row],[Mercadoria]],cálculos!$H$3:$K$33,2,),"")</f>
        <v>1.8506999999999998</v>
      </c>
      <c r="H16" s="6"/>
      <c r="I16" s="3">
        <f>Tabela2[[#This Row],[Quantidade]]*Tabela2[[#This Row],[Preço Unitario]]*(1-Tabela2[[#This Row],[Desconto]])</f>
        <v>185.07</v>
      </c>
    </row>
    <row r="17" spans="2:9" x14ac:dyDescent="0.3">
      <c r="B17" s="9">
        <v>42188</v>
      </c>
      <c r="C17" t="s">
        <v>76</v>
      </c>
      <c r="D17" t="s">
        <v>30</v>
      </c>
      <c r="E17" t="str">
        <f>IFERROR(VLOOKUP(Tabela2[[#This Row],[Mercadoria]],cálculos!$H$3:$K$33,4,),"")</f>
        <v>Lata</v>
      </c>
      <c r="F17">
        <v>100</v>
      </c>
      <c r="G17" s="3">
        <f>IFERROR(VLOOKUP(Tabela2[[#This Row],[Mercadoria]],cálculos!$H$3:$K$33,2,),"")</f>
        <v>2.1023999999999998</v>
      </c>
      <c r="H17" s="6"/>
      <c r="I17" s="3">
        <f>Tabela2[[#This Row],[Quantidade]]*Tabela2[[#This Row],[Preço Unitario]]*(1-Tabela2[[#This Row],[Desconto]])</f>
        <v>210.23999999999998</v>
      </c>
    </row>
    <row r="18" spans="2:9" x14ac:dyDescent="0.3">
      <c r="B18" s="9">
        <v>42188</v>
      </c>
      <c r="C18" t="s">
        <v>80</v>
      </c>
      <c r="D18" t="s">
        <v>22</v>
      </c>
      <c r="E18" t="str">
        <f>IFERROR(VLOOKUP(Tabela2[[#This Row],[Mercadoria]],cálculos!$H$3:$K$33,4,),"")</f>
        <v>Kg</v>
      </c>
      <c r="F18">
        <v>110</v>
      </c>
      <c r="G18" s="3">
        <f>IFERROR(VLOOKUP(Tabela2[[#This Row],[Mercadoria]],cálculos!$H$3:$K$33,2,),"")</f>
        <v>6.4216000000000006</v>
      </c>
      <c r="H18" s="6"/>
      <c r="I18" s="3">
        <f>Tabela2[[#This Row],[Quantidade]]*Tabela2[[#This Row],[Preço Unitario]]*(1-Tabela2[[#This Row],[Desconto]])</f>
        <v>706.37600000000009</v>
      </c>
    </row>
    <row r="19" spans="2:9" x14ac:dyDescent="0.3">
      <c r="B19" s="9">
        <v>42188</v>
      </c>
      <c r="C19" t="s">
        <v>81</v>
      </c>
      <c r="D19" t="s">
        <v>23</v>
      </c>
      <c r="E19" t="str">
        <f>IFERROR(VLOOKUP(Tabela2[[#This Row],[Mercadoria]],cálculos!$H$3:$K$33,4,),"")</f>
        <v>Kg</v>
      </c>
      <c r="F19">
        <v>50</v>
      </c>
      <c r="G19" s="3">
        <f>IFERROR(VLOOKUP(Tabela2[[#This Row],[Mercadoria]],cálculos!$H$3:$K$33,2,),"")</f>
        <v>22.226999999999997</v>
      </c>
      <c r="H19" s="6"/>
      <c r="I19" s="3">
        <f>Tabela2[[#This Row],[Quantidade]]*Tabela2[[#This Row],[Preço Unitario]]*(1-Tabela2[[#This Row],[Desconto]])</f>
        <v>1111.3499999999999</v>
      </c>
    </row>
    <row r="20" spans="2:9" x14ac:dyDescent="0.3">
      <c r="B20" s="9">
        <v>42187</v>
      </c>
      <c r="C20" t="s">
        <v>75</v>
      </c>
      <c r="D20" t="s">
        <v>17</v>
      </c>
      <c r="E20" t="str">
        <f>IFERROR(VLOOKUP(Tabela2[[#This Row],[Mercadoria]],cálculos!$H$3:$K$33,4,),"")</f>
        <v>Kg</v>
      </c>
      <c r="F20">
        <v>300</v>
      </c>
      <c r="G20" s="3">
        <f>IFERROR(VLOOKUP(Tabela2[[#This Row],[Mercadoria]],cálculos!$H$3:$K$33,2,),"")</f>
        <v>2.3406000000000002</v>
      </c>
      <c r="H20" s="6"/>
      <c r="I20" s="3">
        <f>Tabela2[[#This Row],[Quantidade]]*Tabela2[[#This Row],[Preço Unitario]]*(1-Tabela2[[#This Row],[Desconto]])</f>
        <v>702.18000000000006</v>
      </c>
    </row>
    <row r="21" spans="2:9" x14ac:dyDescent="0.3">
      <c r="B21" s="9">
        <v>42187</v>
      </c>
      <c r="C21" t="s">
        <v>74</v>
      </c>
      <c r="D21" t="s">
        <v>20</v>
      </c>
      <c r="E21" t="str">
        <f>IFERROR(VLOOKUP(Tabela2[[#This Row],[Mercadoria]],cálculos!$H$3:$K$33,4,),"")</f>
        <v>Unidade</v>
      </c>
      <c r="F21">
        <v>150</v>
      </c>
      <c r="G21" s="3">
        <f>IFERROR(VLOOKUP(Tabela2[[#This Row],[Mercadoria]],cálculos!$H$3:$K$33,2,),"")</f>
        <v>2.8405</v>
      </c>
      <c r="H21" s="6"/>
      <c r="I21" s="3">
        <f>Tabela2[[#This Row],[Quantidade]]*Tabela2[[#This Row],[Preço Unitario]]*(1-Tabela2[[#This Row],[Desconto]])</f>
        <v>426.07499999999999</v>
      </c>
    </row>
    <row r="22" spans="2:9" x14ac:dyDescent="0.3">
      <c r="B22" s="9">
        <v>42187</v>
      </c>
      <c r="C22" t="s">
        <v>82</v>
      </c>
      <c r="D22" t="s">
        <v>27</v>
      </c>
      <c r="E22" t="str">
        <f>IFERROR(VLOOKUP(Tabela2[[#This Row],[Mercadoria]],cálculos!$H$3:$K$33,4,),"")</f>
        <v>Kg</v>
      </c>
      <c r="F22">
        <v>150</v>
      </c>
      <c r="G22" s="3">
        <f>IFERROR(VLOOKUP(Tabela2[[#This Row],[Mercadoria]],cálculos!$H$3:$K$33,2,),"")</f>
        <v>3.6309000000000005</v>
      </c>
      <c r="H22" s="6"/>
      <c r="I22" s="3">
        <f>Tabela2[[#This Row],[Quantidade]]*Tabela2[[#This Row],[Preço Unitario]]*(1-Tabela2[[#This Row],[Desconto]])</f>
        <v>544.6350000000001</v>
      </c>
    </row>
    <row r="23" spans="2:9" x14ac:dyDescent="0.3">
      <c r="B23" s="9">
        <v>42187</v>
      </c>
      <c r="C23" t="s">
        <v>83</v>
      </c>
      <c r="D23" t="s">
        <v>21</v>
      </c>
      <c r="E23" t="str">
        <f>IFERROR(VLOOKUP(Tabela2[[#This Row],[Mercadoria]],cálculos!$H$3:$K$33,4,),"")</f>
        <v>Kg</v>
      </c>
      <c r="F23">
        <v>150</v>
      </c>
      <c r="G23" s="3">
        <f>IFERROR(VLOOKUP(Tabela2[[#This Row],[Mercadoria]],cálculos!$H$3:$K$33,2,),"")</f>
        <v>14.469000000000001</v>
      </c>
      <c r="H23" s="6"/>
      <c r="I23" s="3">
        <f>Tabela2[[#This Row],[Quantidade]]*Tabela2[[#This Row],[Preço Unitario]]*(1-Tabela2[[#This Row],[Desconto]])</f>
        <v>2170.3500000000004</v>
      </c>
    </row>
    <row r="24" spans="2:9" x14ac:dyDescent="0.3">
      <c r="B24" s="9">
        <v>42187</v>
      </c>
      <c r="C24" t="s">
        <v>76</v>
      </c>
      <c r="D24" t="s">
        <v>30</v>
      </c>
      <c r="E24" t="str">
        <f>IFERROR(VLOOKUP(Tabela2[[#This Row],[Mercadoria]],cálculos!$H$3:$K$33,4,),"")</f>
        <v>Lata</v>
      </c>
      <c r="F24">
        <v>100</v>
      </c>
      <c r="G24" s="3">
        <f>IFERROR(VLOOKUP(Tabela2[[#This Row],[Mercadoria]],cálculos!$H$3:$K$33,2,),"")</f>
        <v>2.1023999999999998</v>
      </c>
      <c r="H24" s="6"/>
      <c r="I24" s="3">
        <f>Tabela2[[#This Row],[Quantidade]]*Tabela2[[#This Row],[Preço Unitario]]*(1-Tabela2[[#This Row],[Desconto]])</f>
        <v>210.23999999999998</v>
      </c>
    </row>
    <row r="25" spans="2:9" x14ac:dyDescent="0.3">
      <c r="B25" s="9">
        <v>42187</v>
      </c>
      <c r="C25" t="s">
        <v>76</v>
      </c>
      <c r="D25" t="s">
        <v>25</v>
      </c>
      <c r="E25" t="str">
        <f>IFERROR(VLOOKUP(Tabela2[[#This Row],[Mercadoria]],cálculos!$H$3:$K$33,4,),"")</f>
        <v>Garrafa</v>
      </c>
      <c r="F25">
        <v>80</v>
      </c>
      <c r="G25" s="3">
        <f>IFERROR(VLOOKUP(Tabela2[[#This Row],[Mercadoria]],cálculos!$H$3:$K$33,2,),"")</f>
        <v>26.012999999999998</v>
      </c>
      <c r="H25" s="6"/>
      <c r="I25" s="3">
        <f>Tabela2[[#This Row],[Quantidade]]*Tabela2[[#This Row],[Preço Unitario]]*(1-Tabela2[[#This Row],[Desconto]])</f>
        <v>2081.04</v>
      </c>
    </row>
    <row r="26" spans="2:9" x14ac:dyDescent="0.3">
      <c r="B26" s="9">
        <v>42187</v>
      </c>
      <c r="C26" t="s">
        <v>74</v>
      </c>
      <c r="D26" t="s">
        <v>32</v>
      </c>
      <c r="E26" t="str">
        <f>IFERROR(VLOOKUP(Tabela2[[#This Row],[Mercadoria]],cálculos!$H$3:$K$33,4,),"")</f>
        <v>Unidade</v>
      </c>
      <c r="F26">
        <v>100</v>
      </c>
      <c r="G26" s="3">
        <f>IFERROR(VLOOKUP(Tabela2[[#This Row],[Mercadoria]],cálculos!$H$3:$K$33,2,),"")</f>
        <v>2.3660000000000001</v>
      </c>
      <c r="H26" s="6"/>
      <c r="I26" s="3">
        <f>Tabela2[[#This Row],[Quantidade]]*Tabela2[[#This Row],[Preço Unitario]]*(1-Tabela2[[#This Row],[Desconto]])</f>
        <v>236.60000000000002</v>
      </c>
    </row>
    <row r="28" spans="2:9" ht="18" x14ac:dyDescent="0.35">
      <c r="B28" s="4" t="s">
        <v>84</v>
      </c>
      <c r="C28" s="4"/>
      <c r="D28" s="4"/>
      <c r="E28" s="4"/>
      <c r="F28" s="4"/>
      <c r="I28" s="5">
        <f>SUM(Tabela2[Valor Pago])</f>
        <v>14147.651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60A9CCA-DE48-49B2-964B-84F40168FA7D}">
          <x14:formula1>
            <xm:f>cálculos!$H$3:$H$34</xm:f>
          </x14:formula1>
          <xm:sqref>D5:D26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E11"/>
  <sheetViews>
    <sheetView showGridLines="0" workbookViewId="0">
      <selection activeCell="B11" sqref="B11:E11"/>
    </sheetView>
  </sheetViews>
  <sheetFormatPr defaultRowHeight="14.4" x14ac:dyDescent="0.3"/>
  <cols>
    <col min="2" max="2" width="29.21875" customWidth="1"/>
    <col min="3" max="3" width="14.6640625" customWidth="1"/>
    <col min="4" max="4" width="57.21875" customWidth="1"/>
    <col min="5" max="5" width="19.44140625" customWidth="1"/>
    <col min="9" max="9" width="14.77734375" bestFit="1" customWidth="1"/>
    <col min="10" max="10" width="25.21875" bestFit="1" customWidth="1"/>
    <col min="11" max="11" width="24" bestFit="1" customWidth="1"/>
    <col min="12" max="12" width="9.6640625" bestFit="1" customWidth="1"/>
  </cols>
  <sheetData>
    <row r="2" spans="2:5" s="1" customFormat="1" ht="21" x14ac:dyDescent="0.4">
      <c r="B2" s="2" t="s">
        <v>86</v>
      </c>
    </row>
    <row r="3" spans="2:5" ht="30" customHeight="1" x14ac:dyDescent="0.3"/>
    <row r="4" spans="2:5" x14ac:dyDescent="0.3">
      <c r="B4" t="s">
        <v>87</v>
      </c>
      <c r="C4" t="s">
        <v>42</v>
      </c>
      <c r="D4" t="s">
        <v>88</v>
      </c>
      <c r="E4" t="s">
        <v>89</v>
      </c>
    </row>
    <row r="5" spans="2:5" ht="28.8" customHeight="1" x14ac:dyDescent="0.3">
      <c r="B5" t="s">
        <v>90</v>
      </c>
      <c r="C5" s="9">
        <v>45051</v>
      </c>
      <c r="D5" s="12" t="s">
        <v>93</v>
      </c>
      <c r="E5" s="3">
        <v>400000</v>
      </c>
    </row>
    <row r="6" spans="2:5" ht="28.8" customHeight="1" x14ac:dyDescent="0.3">
      <c r="B6" t="s">
        <v>11</v>
      </c>
      <c r="C6" s="9"/>
      <c r="E6" s="3"/>
    </row>
    <row r="7" spans="2:5" ht="28.8" customHeight="1" x14ac:dyDescent="0.3">
      <c r="B7" t="s">
        <v>91</v>
      </c>
      <c r="C7" s="9"/>
      <c r="E7" s="3"/>
    </row>
    <row r="8" spans="2:5" ht="28.8" customHeight="1" x14ac:dyDescent="0.3">
      <c r="B8" t="s">
        <v>92</v>
      </c>
      <c r="C8" s="9"/>
      <c r="E8" s="3"/>
    </row>
    <row r="9" spans="2:5" ht="28.8" customHeight="1" x14ac:dyDescent="0.3">
      <c r="B9" t="s">
        <v>5</v>
      </c>
      <c r="C9" s="9"/>
      <c r="E9" s="3"/>
    </row>
    <row r="11" spans="2:5" ht="18" x14ac:dyDescent="0.35">
      <c r="B11" s="4" t="s">
        <v>94</v>
      </c>
      <c r="C11" s="4"/>
      <c r="D11" s="4"/>
      <c r="E11" s="5">
        <f>SUM(Tabela3[Valor])</f>
        <v>400000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H28"/>
  <sheetViews>
    <sheetView showGridLines="0" workbookViewId="0">
      <selection activeCell="F6" sqref="F6"/>
    </sheetView>
  </sheetViews>
  <sheetFormatPr defaultRowHeight="14.4" x14ac:dyDescent="0.3"/>
  <cols>
    <col min="2" max="2" width="26.109375" bestFit="1" customWidth="1"/>
    <col min="3" max="3" width="22.5546875" bestFit="1" customWidth="1"/>
    <col min="4" max="4" width="18.5546875" bestFit="1" customWidth="1"/>
    <col min="5" max="5" width="22.5546875" bestFit="1" customWidth="1"/>
    <col min="6" max="6" width="20.77734375" bestFit="1" customWidth="1"/>
    <col min="7" max="7" width="18.109375" bestFit="1" customWidth="1"/>
    <col min="8" max="8" width="10.44140625" bestFit="1" customWidth="1"/>
  </cols>
  <sheetData>
    <row r="2" spans="2:8" s="1" customFormat="1" ht="21" x14ac:dyDescent="0.4">
      <c r="B2" s="2" t="s">
        <v>95</v>
      </c>
    </row>
    <row r="3" spans="2:8" ht="30" customHeight="1" x14ac:dyDescent="0.3"/>
    <row r="4" spans="2:8" x14ac:dyDescent="0.3">
      <c r="B4" t="s">
        <v>96</v>
      </c>
      <c r="C4" t="s">
        <v>97</v>
      </c>
      <c r="D4" t="s">
        <v>98</v>
      </c>
      <c r="E4" t="s">
        <v>99</v>
      </c>
      <c r="F4" t="s">
        <v>100</v>
      </c>
      <c r="G4" t="s">
        <v>101</v>
      </c>
      <c r="H4" t="s">
        <v>102</v>
      </c>
    </row>
    <row r="5" spans="2:8" x14ac:dyDescent="0.3">
      <c r="B5" t="s">
        <v>20</v>
      </c>
      <c r="C5" s="9">
        <f>IFERROR(INDEX(Tabela2[],MATCH('Controle de Estoque'!B5,Tabela2[Mercadoria],0),1),"")</f>
        <v>42187</v>
      </c>
      <c r="D5">
        <v>15</v>
      </c>
      <c r="E5">
        <f>SUMIF(Tabela2[Mercadoria],Tabela4[[#This Row],[Produto]],Tabela2[Quantidade])</f>
        <v>150</v>
      </c>
      <c r="F5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3</v>
      </c>
      <c r="G5">
        <f>Tabela4[[#This Row],[Quantidade Inicial]]+Tabela4[[#This Row],[Quantidade Comprada]]-Tabela4[[#This Row],[Quantidade Vendida]]</f>
        <v>162</v>
      </c>
      <c r="H5" t="str">
        <f>IF(Tabela4[[#This Row],[Quantidade Atual]]&lt;50,IF(Tabela4[[#This Row],[Quantidade Atual]]&lt;20,"Comprar","Atenção"),"OK")</f>
        <v>OK</v>
      </c>
    </row>
    <row r="6" spans="2:8" x14ac:dyDescent="0.3">
      <c r="B6" t="s">
        <v>29</v>
      </c>
      <c r="C6" s="9">
        <f>IFERROR(INDEX(Tabela2[],MATCH('Controle de Estoque'!B6,Tabela2[Mercadoria],0),1),"")</f>
        <v>42188</v>
      </c>
      <c r="D6">
        <v>10</v>
      </c>
      <c r="E6">
        <f>SUMIF(Tabela2[Mercadoria],Tabela4[[#This Row],[Produto]],Tabela2[Quantidade])</f>
        <v>50</v>
      </c>
      <c r="F6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20</v>
      </c>
      <c r="G6">
        <f>Tabela4[[#This Row],[Quantidade Inicial]]+Tabela4[[#This Row],[Quantidade Comprada]]-Tabela4[[#This Row],[Quantidade Vendida]]</f>
        <v>40</v>
      </c>
      <c r="H6" t="str">
        <f>IF(Tabela4[[#This Row],[Quantidade Atual]]&lt;50,IF(Tabela4[[#This Row],[Quantidade Atual]]&lt;20,"Comprar","Atenção"),"OK")</f>
        <v>Atenção</v>
      </c>
    </row>
    <row r="7" spans="2:8" x14ac:dyDescent="0.3">
      <c r="B7" t="s">
        <v>17</v>
      </c>
      <c r="C7" s="9">
        <f>IFERROR(INDEX(Tabela2[],MATCH('Controle de Estoque'!B7,Tabela2[Mercadoria],0),1),"")</f>
        <v>42189</v>
      </c>
      <c r="D7">
        <v>0</v>
      </c>
      <c r="E7">
        <f>SUMIF(Tabela2[Mercadoria],Tabela4[[#This Row],[Produto]],Tabela2[Quantidade])</f>
        <v>450</v>
      </c>
      <c r="F7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7</v>
      </c>
      <c r="G7">
        <f>Tabela4[[#This Row],[Quantidade Inicial]]+Tabela4[[#This Row],[Quantidade Comprada]]-Tabela4[[#This Row],[Quantidade Vendida]]</f>
        <v>443</v>
      </c>
      <c r="H7" t="str">
        <f>IF(Tabela4[[#This Row],[Quantidade Atual]]&lt;50,IF(Tabela4[[#This Row],[Quantidade Atual]]&lt;20,"Comprar","Atenção"),"OK")</f>
        <v>OK</v>
      </c>
    </row>
    <row r="8" spans="2:8" x14ac:dyDescent="0.3">
      <c r="B8" t="s">
        <v>34</v>
      </c>
      <c r="C8" s="9">
        <f>IFERROR(INDEX(Tabela2[],MATCH('Controle de Estoque'!B8,Tabela2[Mercadoria],0),1),"")</f>
        <v>42188</v>
      </c>
      <c r="D8">
        <v>0</v>
      </c>
      <c r="E8">
        <f>SUMIF(Tabela2[Mercadoria],Tabela4[[#This Row],[Produto]],Tabela2[Quantidade])</f>
        <v>100</v>
      </c>
      <c r="F8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4</v>
      </c>
      <c r="G8">
        <f>Tabela4[[#This Row],[Quantidade Inicial]]+Tabela4[[#This Row],[Quantidade Comprada]]-Tabela4[[#This Row],[Quantidade Vendida]]</f>
        <v>96</v>
      </c>
      <c r="H8" t="str">
        <f>IF(Tabela4[[#This Row],[Quantidade Atual]]&lt;50,IF(Tabela4[[#This Row],[Quantidade Atual]]&lt;20,"Comprar","Atenção"),"OK")</f>
        <v>OK</v>
      </c>
    </row>
    <row r="9" spans="2:8" x14ac:dyDescent="0.3">
      <c r="B9" t="s">
        <v>37</v>
      </c>
      <c r="C9" s="9" t="str">
        <f>IFERROR(INDEX(Tabela2[],MATCH('Controle de Estoque'!B9,Tabela2[Mercadoria],0),1),"")</f>
        <v/>
      </c>
      <c r="D9">
        <v>150</v>
      </c>
      <c r="E9">
        <f>SUMIF(Tabela2[Mercadoria],Tabela4[[#This Row],[Produto]],Tabela2[Quantidade])</f>
        <v>0</v>
      </c>
      <c r="F9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0</v>
      </c>
      <c r="G9">
        <f>Tabela4[[#This Row],[Quantidade Inicial]]+Tabela4[[#This Row],[Quantidade Comprada]]-Tabela4[[#This Row],[Quantidade Vendida]]</f>
        <v>150</v>
      </c>
      <c r="H9" t="str">
        <f>IF(Tabela4[[#This Row],[Quantidade Atual]]&lt;50,IF(Tabela4[[#This Row],[Quantidade Atual]]&lt;20,"Comprar","Atenção"),"OK")</f>
        <v>OK</v>
      </c>
    </row>
    <row r="10" spans="2:8" x14ac:dyDescent="0.3">
      <c r="B10" t="s">
        <v>66</v>
      </c>
      <c r="C10" s="9" t="str">
        <f>IFERROR(INDEX(Tabela2[],MATCH('Controle de Estoque'!B10,Tabela2[Mercadoria],0),1),"")</f>
        <v/>
      </c>
      <c r="D10">
        <v>15</v>
      </c>
      <c r="E10">
        <f>SUMIF(Tabela2[Mercadoria],Tabela4[[#This Row],[Produto]],Tabela2[Quantidade])</f>
        <v>0</v>
      </c>
      <c r="F10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6</v>
      </c>
      <c r="G10">
        <f>Tabela4[[#This Row],[Quantidade Inicial]]+Tabela4[[#This Row],[Quantidade Comprada]]-Tabela4[[#This Row],[Quantidade Vendida]]</f>
        <v>9</v>
      </c>
      <c r="H10" t="str">
        <f>IF(Tabela4[[#This Row],[Quantidade Atual]]&lt;50,IF(Tabela4[[#This Row],[Quantidade Atual]]&lt;20,"Comprar","Atenção"),"OK")</f>
        <v>Comprar</v>
      </c>
    </row>
    <row r="11" spans="2:8" x14ac:dyDescent="0.3">
      <c r="B11" t="s">
        <v>33</v>
      </c>
      <c r="C11" s="9" t="str">
        <f>IFERROR(INDEX(Tabela2[],MATCH('Controle de Estoque'!B11,Tabela2[Mercadoria],0),1),"")</f>
        <v/>
      </c>
      <c r="D11">
        <v>25</v>
      </c>
      <c r="E11">
        <f>SUMIF(Tabela2[Mercadoria],Tabela4[[#This Row],[Produto]],Tabela2[Quantidade])</f>
        <v>0</v>
      </c>
      <c r="F11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6</v>
      </c>
      <c r="G11">
        <f>Tabela4[[#This Row],[Quantidade Inicial]]+Tabela4[[#This Row],[Quantidade Comprada]]-Tabela4[[#This Row],[Quantidade Vendida]]</f>
        <v>19</v>
      </c>
      <c r="H11" t="str">
        <f>IF(Tabela4[[#This Row],[Quantidade Atual]]&lt;50,IF(Tabela4[[#This Row],[Quantidade Atual]]&lt;20,"Comprar","Atenção"),"OK")</f>
        <v>Comprar</v>
      </c>
    </row>
    <row r="12" spans="2:8" x14ac:dyDescent="0.3">
      <c r="B12" t="s">
        <v>21</v>
      </c>
      <c r="C12" s="9">
        <f>IFERROR(INDEX(Tabela2[],MATCH('Controle de Estoque'!B12,Tabela2[Mercadoria],0),1),"")</f>
        <v>42187</v>
      </c>
      <c r="D12">
        <v>0</v>
      </c>
      <c r="E12">
        <f>SUMIF(Tabela2[Mercadoria],Tabela4[[#This Row],[Produto]],Tabela2[Quantidade])</f>
        <v>150</v>
      </c>
      <c r="F12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16</v>
      </c>
      <c r="G12">
        <f>Tabela4[[#This Row],[Quantidade Inicial]]+Tabela4[[#This Row],[Quantidade Comprada]]-Tabela4[[#This Row],[Quantidade Vendida]]</f>
        <v>134</v>
      </c>
      <c r="H12" t="str">
        <f>IF(Tabela4[[#This Row],[Quantidade Atual]]&lt;50,IF(Tabela4[[#This Row],[Quantidade Atual]]&lt;20,"Comprar","Atenção"),"OK")</f>
        <v>OK</v>
      </c>
    </row>
    <row r="13" spans="2:8" x14ac:dyDescent="0.3">
      <c r="B13" t="s">
        <v>27</v>
      </c>
      <c r="C13" s="9">
        <f>IFERROR(INDEX(Tabela2[],MATCH('Controle de Estoque'!B13,Tabela2[Mercadoria],0),1),"")</f>
        <v>42187</v>
      </c>
      <c r="D13">
        <v>0</v>
      </c>
      <c r="E13">
        <f>SUMIF(Tabela2[Mercadoria],Tabela4[[#This Row],[Produto]],Tabela2[Quantidade])</f>
        <v>150</v>
      </c>
      <c r="F13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0</v>
      </c>
      <c r="G13">
        <f>Tabela4[[#This Row],[Quantidade Inicial]]+Tabela4[[#This Row],[Quantidade Comprada]]-Tabela4[[#This Row],[Quantidade Vendida]]</f>
        <v>150</v>
      </c>
      <c r="H13" t="str">
        <f>IF(Tabela4[[#This Row],[Quantidade Atual]]&lt;50,IF(Tabela4[[#This Row],[Quantidade Atual]]&lt;20,"Comprar","Atenção"),"OK")</f>
        <v>OK</v>
      </c>
    </row>
    <row r="14" spans="2:8" x14ac:dyDescent="0.3">
      <c r="B14" t="s">
        <v>30</v>
      </c>
      <c r="C14" s="9">
        <f>IFERROR(INDEX(Tabela2[],MATCH('Controle de Estoque'!B14,Tabela2[Mercadoria],0),1),"")</f>
        <v>42189</v>
      </c>
      <c r="D14">
        <v>30</v>
      </c>
      <c r="E14">
        <f>SUMIF(Tabela2[Mercadoria],Tabela4[[#This Row],[Produto]],Tabela2[Quantidade])</f>
        <v>300</v>
      </c>
      <c r="F14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87</v>
      </c>
      <c r="G14">
        <f>Tabela4[[#This Row],[Quantidade Inicial]]+Tabela4[[#This Row],[Quantidade Comprada]]-Tabela4[[#This Row],[Quantidade Vendida]]</f>
        <v>243</v>
      </c>
      <c r="H14" t="str">
        <f>IF(Tabela4[[#This Row],[Quantidade Atual]]&lt;50,IF(Tabela4[[#This Row],[Quantidade Atual]]&lt;20,"Comprar","Atenção"),"OK")</f>
        <v>OK</v>
      </c>
    </row>
    <row r="15" spans="2:8" x14ac:dyDescent="0.3">
      <c r="B15" t="s">
        <v>35</v>
      </c>
      <c r="C15" s="9">
        <f>IFERROR(INDEX(Tabela2[],MATCH('Controle de Estoque'!B15,Tabela2[Mercadoria],0),1),"")</f>
        <v>42188</v>
      </c>
      <c r="D15">
        <v>0</v>
      </c>
      <c r="E15">
        <f>SUMIF(Tabela2[Mercadoria],Tabela4[[#This Row],[Produto]],Tabela2[Quantidade])</f>
        <v>100</v>
      </c>
      <c r="F15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0</v>
      </c>
      <c r="G15">
        <f>Tabela4[[#This Row],[Quantidade Inicial]]+Tabela4[[#This Row],[Quantidade Comprada]]-Tabela4[[#This Row],[Quantidade Vendida]]</f>
        <v>100</v>
      </c>
      <c r="H15" t="str">
        <f>IF(Tabela4[[#This Row],[Quantidade Atual]]&lt;50,IF(Tabela4[[#This Row],[Quantidade Atual]]&lt;20,"Comprar","Atenção"),"OK")</f>
        <v>OK</v>
      </c>
    </row>
    <row r="16" spans="2:8" x14ac:dyDescent="0.3">
      <c r="B16" t="s">
        <v>36</v>
      </c>
      <c r="C16" s="9">
        <f>IFERROR(INDEX(Tabela2[],MATCH('Controle de Estoque'!B16,Tabela2[Mercadoria],0),1),"")</f>
        <v>42188</v>
      </c>
      <c r="D16">
        <v>0</v>
      </c>
      <c r="E16">
        <f>SUMIF(Tabela2[Mercadoria],Tabela4[[#This Row],[Produto]],Tabela2[Quantidade])</f>
        <v>100</v>
      </c>
      <c r="F16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0</v>
      </c>
      <c r="G16">
        <f>Tabela4[[#This Row],[Quantidade Inicial]]+Tabela4[[#This Row],[Quantidade Comprada]]-Tabela4[[#This Row],[Quantidade Vendida]]</f>
        <v>100</v>
      </c>
      <c r="H16" t="str">
        <f>IF(Tabela4[[#This Row],[Quantidade Atual]]&lt;50,IF(Tabela4[[#This Row],[Quantidade Atual]]&lt;20,"Comprar","Atenção"),"OK")</f>
        <v>OK</v>
      </c>
    </row>
    <row r="17" spans="2:8" x14ac:dyDescent="0.3">
      <c r="B17" t="s">
        <v>32</v>
      </c>
      <c r="C17" s="9">
        <f>IFERROR(INDEX(Tabela2[],MATCH('Controle de Estoque'!B17,Tabela2[Mercadoria],0),1),"")</f>
        <v>42190</v>
      </c>
      <c r="D17">
        <v>0</v>
      </c>
      <c r="E17">
        <f>SUMIF(Tabela2[Mercadoria],Tabela4[[#This Row],[Produto]],Tabela2[Quantidade])</f>
        <v>150</v>
      </c>
      <c r="F17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0</v>
      </c>
      <c r="G17">
        <f>Tabela4[[#This Row],[Quantidade Inicial]]+Tabela4[[#This Row],[Quantidade Comprada]]-Tabela4[[#This Row],[Quantidade Vendida]]</f>
        <v>150</v>
      </c>
      <c r="H17" t="str">
        <f>IF(Tabela4[[#This Row],[Quantidade Atual]]&lt;50,IF(Tabela4[[#This Row],[Quantidade Atual]]&lt;20,"Comprar","Atenção"),"OK")</f>
        <v>OK</v>
      </c>
    </row>
    <row r="18" spans="2:8" x14ac:dyDescent="0.3">
      <c r="B18" t="s">
        <v>18</v>
      </c>
      <c r="C18" s="9">
        <f>IFERROR(INDEX(Tabela2[],MATCH('Controle de Estoque'!B18,Tabela2[Mercadoria],0),1),"")</f>
        <v>42190</v>
      </c>
      <c r="D18">
        <v>0</v>
      </c>
      <c r="E18">
        <f>SUMIF(Tabela2[Mercadoria],Tabela4[[#This Row],[Produto]],Tabela2[Quantidade])</f>
        <v>570</v>
      </c>
      <c r="F18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10</v>
      </c>
      <c r="G18">
        <f>Tabela4[[#This Row],[Quantidade Inicial]]+Tabela4[[#This Row],[Quantidade Comprada]]-Tabela4[[#This Row],[Quantidade Vendida]]</f>
        <v>560</v>
      </c>
      <c r="H18" t="str">
        <f>IF(Tabela4[[#This Row],[Quantidade Atual]]&lt;50,IF(Tabela4[[#This Row],[Quantidade Atual]]&lt;20,"Comprar","Atenção"),"OK")</f>
        <v>OK</v>
      </c>
    </row>
    <row r="19" spans="2:8" x14ac:dyDescent="0.3">
      <c r="B19" t="s">
        <v>22</v>
      </c>
      <c r="C19" s="9">
        <f>IFERROR(INDEX(Tabela2[],MATCH('Controle de Estoque'!B19,Tabela2[Mercadoria],0),1),"")</f>
        <v>42188</v>
      </c>
      <c r="D19">
        <v>39</v>
      </c>
      <c r="E19">
        <f>SUMIF(Tabela2[Mercadoria],Tabela4[[#This Row],[Produto]],Tabela2[Quantidade])</f>
        <v>110</v>
      </c>
      <c r="F19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0</v>
      </c>
      <c r="G19">
        <f>Tabela4[[#This Row],[Quantidade Inicial]]+Tabela4[[#This Row],[Quantidade Comprada]]-Tabela4[[#This Row],[Quantidade Vendida]]</f>
        <v>149</v>
      </c>
      <c r="H19" t="str">
        <f>IF(Tabela4[[#This Row],[Quantidade Atual]]&lt;50,IF(Tabela4[[#This Row],[Quantidade Atual]]&lt;20,"Comprar","Atenção"),"OK")</f>
        <v>OK</v>
      </c>
    </row>
    <row r="20" spans="2:8" x14ac:dyDescent="0.3">
      <c r="B20" t="s">
        <v>71</v>
      </c>
      <c r="C20" s="9">
        <f>IFERROR(INDEX(Tabela2[],MATCH('Controle de Estoque'!B20,Tabela2[Mercadoria],0),1),"")</f>
        <v>42188</v>
      </c>
      <c r="D20">
        <v>0</v>
      </c>
      <c r="E20">
        <f>SUMIF(Tabela2[Mercadoria],Tabela4[[#This Row],[Produto]],Tabela2[Quantidade])</f>
        <v>300</v>
      </c>
      <c r="F20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5</v>
      </c>
      <c r="G20">
        <f>Tabela4[[#This Row],[Quantidade Inicial]]+Tabela4[[#This Row],[Quantidade Comprada]]-Tabela4[[#This Row],[Quantidade Vendida]]</f>
        <v>295</v>
      </c>
      <c r="H20" t="str">
        <f>IF(Tabela4[[#This Row],[Quantidade Atual]]&lt;50,IF(Tabela4[[#This Row],[Quantidade Atual]]&lt;20,"Comprar","Atenção"),"OK")</f>
        <v>OK</v>
      </c>
    </row>
    <row r="21" spans="2:8" x14ac:dyDescent="0.3">
      <c r="B21" t="s">
        <v>23</v>
      </c>
      <c r="C21" s="9">
        <f>IFERROR(INDEX(Tabela2[],MATCH('Controle de Estoque'!B21,Tabela2[Mercadoria],0),1),"")</f>
        <v>42188</v>
      </c>
      <c r="D21">
        <v>0</v>
      </c>
      <c r="E21">
        <f>SUMIF(Tabela2[Mercadoria],Tabela4[[#This Row],[Produto]],Tabela2[Quantidade])</f>
        <v>50</v>
      </c>
      <c r="F21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0</v>
      </c>
      <c r="G21">
        <f>Tabela4[[#This Row],[Quantidade Inicial]]+Tabela4[[#This Row],[Quantidade Comprada]]-Tabela4[[#This Row],[Quantidade Vendida]]</f>
        <v>50</v>
      </c>
      <c r="H21" t="str">
        <f>IF(Tabela4[[#This Row],[Quantidade Atual]]&lt;50,IF(Tabela4[[#This Row],[Quantidade Atual]]&lt;20,"Comprar","Atenção"),"OK")</f>
        <v>OK</v>
      </c>
    </row>
    <row r="22" spans="2:8" x14ac:dyDescent="0.3">
      <c r="B22" t="s">
        <v>24</v>
      </c>
      <c r="C22" s="9" t="str">
        <f>IFERROR(INDEX(Tabela2[],MATCH('Controle de Estoque'!B22,Tabela2[Mercadoria],0),1),"")</f>
        <v/>
      </c>
      <c r="D22">
        <v>10</v>
      </c>
      <c r="E22">
        <f>SUMIF(Tabela2[Mercadoria],Tabela4[[#This Row],[Produto]],Tabela2[Quantidade])</f>
        <v>0</v>
      </c>
      <c r="F22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1.5</v>
      </c>
      <c r="G22">
        <f>Tabela4[[#This Row],[Quantidade Inicial]]+Tabela4[[#This Row],[Quantidade Comprada]]-Tabela4[[#This Row],[Quantidade Vendida]]</f>
        <v>8.5</v>
      </c>
      <c r="H22" t="str">
        <f>IF(Tabela4[[#This Row],[Quantidade Atual]]&lt;50,IF(Tabela4[[#This Row],[Quantidade Atual]]&lt;20,"Comprar","Atenção"),"OK")</f>
        <v>Comprar</v>
      </c>
    </row>
    <row r="23" spans="2:8" x14ac:dyDescent="0.3">
      <c r="B23" t="s">
        <v>72</v>
      </c>
      <c r="C23" s="9" t="str">
        <f>IFERROR(INDEX(Tabela2[],MATCH('Controle de Estoque'!B23,Tabela2[Mercadoria],0),1),"")</f>
        <v/>
      </c>
      <c r="D23">
        <v>100</v>
      </c>
      <c r="E23">
        <f>SUMIF(Tabela2[Mercadoria],Tabela4[[#This Row],[Produto]],Tabela2[Quantidade])</f>
        <v>0</v>
      </c>
      <c r="F23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4</v>
      </c>
      <c r="G23">
        <f>Tabela4[[#This Row],[Quantidade Inicial]]+Tabela4[[#This Row],[Quantidade Comprada]]-Tabela4[[#This Row],[Quantidade Vendida]]</f>
        <v>96</v>
      </c>
      <c r="H23" t="str">
        <f>IF(Tabela4[[#This Row],[Quantidade Atual]]&lt;50,IF(Tabela4[[#This Row],[Quantidade Atual]]&lt;20,"Comprar","Atenção"),"OK")</f>
        <v>OK</v>
      </c>
    </row>
    <row r="24" spans="2:8" x14ac:dyDescent="0.3">
      <c r="B24" t="s">
        <v>26</v>
      </c>
      <c r="C24" s="9">
        <f>IFERROR(INDEX(Tabela2[],MATCH('Controle de Estoque'!B24,Tabela2[Mercadoria],0),1),"")</f>
        <v>42189</v>
      </c>
      <c r="D24">
        <v>0</v>
      </c>
      <c r="E24">
        <f>SUMIF(Tabela2[Mercadoria],Tabela4[[#This Row],[Produto]],Tabela2[Quantidade])</f>
        <v>200</v>
      </c>
      <c r="F24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0</v>
      </c>
      <c r="G24">
        <f>Tabela4[[#This Row],[Quantidade Inicial]]+Tabela4[[#This Row],[Quantidade Comprada]]-Tabela4[[#This Row],[Quantidade Vendida]]</f>
        <v>200</v>
      </c>
      <c r="H24" t="str">
        <f>IF(Tabela4[[#This Row],[Quantidade Atual]]&lt;50,IF(Tabela4[[#This Row],[Quantidade Atual]]&lt;20,"Comprar","Atenção"),"OK")</f>
        <v>OK</v>
      </c>
    </row>
    <row r="25" spans="2:8" x14ac:dyDescent="0.3">
      <c r="B25" t="s">
        <v>19</v>
      </c>
      <c r="C25" s="9" t="str">
        <f>IFERROR(INDEX(Tabela2[],MATCH('Controle de Estoque'!B25,Tabela2[Mercadoria],0),1),"")</f>
        <v/>
      </c>
      <c r="D25">
        <v>30</v>
      </c>
      <c r="E25">
        <f>SUMIF(Tabela2[Mercadoria],Tabela4[[#This Row],[Produto]],Tabela2[Quantidade])</f>
        <v>0</v>
      </c>
      <c r="F25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0</v>
      </c>
      <c r="G25">
        <f>Tabela4[[#This Row],[Quantidade Inicial]]+Tabela4[[#This Row],[Quantidade Comprada]]-Tabela4[[#This Row],[Quantidade Vendida]]</f>
        <v>30</v>
      </c>
      <c r="H25" t="str">
        <f>IF(Tabela4[[#This Row],[Quantidade Atual]]&lt;50,IF(Tabela4[[#This Row],[Quantidade Atual]]&lt;20,"Comprar","Atenção"),"OK")</f>
        <v>Atenção</v>
      </c>
    </row>
    <row r="26" spans="2:8" x14ac:dyDescent="0.3">
      <c r="B26" t="s">
        <v>28</v>
      </c>
      <c r="C26" s="9" t="str">
        <f>IFERROR(INDEX(Tabela2[],MATCH('Controle de Estoque'!B26,Tabela2[Mercadoria],0),1),"")</f>
        <v/>
      </c>
      <c r="D26">
        <v>50</v>
      </c>
      <c r="E26">
        <f>SUMIF(Tabela2[Mercadoria],Tabela4[[#This Row],[Produto]],Tabela2[Quantidade])</f>
        <v>0</v>
      </c>
      <c r="F26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2</v>
      </c>
      <c r="G26">
        <f>Tabela4[[#This Row],[Quantidade Inicial]]+Tabela4[[#This Row],[Quantidade Comprada]]-Tabela4[[#This Row],[Quantidade Vendida]]</f>
        <v>48</v>
      </c>
      <c r="H26" t="str">
        <f>IF(Tabela4[[#This Row],[Quantidade Atual]]&lt;50,IF(Tabela4[[#This Row],[Quantidade Atual]]&lt;20,"Comprar","Atenção"),"OK")</f>
        <v>Atenção</v>
      </c>
    </row>
    <row r="27" spans="2:8" x14ac:dyDescent="0.3">
      <c r="B27" t="s">
        <v>25</v>
      </c>
      <c r="C27" s="9">
        <f>IFERROR(INDEX(Tabela2[],MATCH('Controle de Estoque'!B27,Tabela2[Mercadoria],0),1),"")</f>
        <v>42187</v>
      </c>
      <c r="D27">
        <v>0</v>
      </c>
      <c r="E27">
        <f>SUMIF(Tabela2[Mercadoria],Tabela4[[#This Row],[Produto]],Tabela2[Quantidade])</f>
        <v>80</v>
      </c>
      <c r="F27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0</v>
      </c>
      <c r="G27">
        <f>Tabela4[[#This Row],[Quantidade Inicial]]+Tabela4[[#This Row],[Quantidade Comprada]]-Tabela4[[#This Row],[Quantidade Vendida]]</f>
        <v>80</v>
      </c>
      <c r="H27" t="str">
        <f>IF(Tabela4[[#This Row],[Quantidade Atual]]&lt;50,IF(Tabela4[[#This Row],[Quantidade Atual]]&lt;20,"Comprar","Atenção"),"OK")</f>
        <v>OK</v>
      </c>
    </row>
    <row r="28" spans="2:8" x14ac:dyDescent="0.3">
      <c r="B28" t="s">
        <v>31</v>
      </c>
      <c r="C28" s="9" t="str">
        <f>IFERROR(INDEX(Tabela2[],MATCH('Controle de Estoque'!B28,Tabela2[Mercadoria],0),1),"")</f>
        <v/>
      </c>
      <c r="D28">
        <v>20</v>
      </c>
      <c r="E28">
        <f>SUMIF(Tabela2[Mercadoria],Tabela4[[#This Row],[Produto]],Tabela2[Quantidade])</f>
        <v>0</v>
      </c>
      <c r="F28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Row],[Produto]],Tabela59[Quantidade])+SUMIF(Tabela5910[Produto],Tabela4[[#This Row],[Produto]],Tabela5910[Quantidade])</f>
        <v>3</v>
      </c>
      <c r="G28">
        <f>Tabela4[[#This Row],[Quantidade Inicial]]+Tabela4[[#This Row],[Quantidade Comprada]]-Tabela4[[#This Row],[Quantidade Vendida]]</f>
        <v>17</v>
      </c>
      <c r="H28" t="str">
        <f>IF(Tabela4[[#This Row],[Quantidade Atual]]&lt;50,IF(Tabela4[[#This Row],[Quantidade Atual]]&lt;20,"Comprar","Atenção"),"OK")</f>
        <v>Comprar</v>
      </c>
    </row>
  </sheetData>
  <conditionalFormatting sqref="H5:H28">
    <cfRule type="containsText" dxfId="7" priority="1" operator="containsText" text="Atenção">
      <formula>NOT(ISERROR(SEARCH("Atenção",H5)))</formula>
    </cfRule>
    <cfRule type="containsText" dxfId="6" priority="2" operator="containsText" text="Comprar">
      <formula>NOT(ISERROR(SEARCH("Comprar",H5)))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2:E25"/>
  <sheetViews>
    <sheetView showGridLines="0" workbookViewId="0"/>
  </sheetViews>
  <sheetFormatPr defaultRowHeight="14.4" x14ac:dyDescent="0.3"/>
  <cols>
    <col min="2" max="2" width="24" bestFit="1" customWidth="1"/>
    <col min="3" max="4" width="30.77734375" customWidth="1"/>
    <col min="5" max="5" width="20.77734375" customWidth="1"/>
  </cols>
  <sheetData>
    <row r="2" spans="2:5" s="14" customFormat="1" ht="21" x14ac:dyDescent="0.4">
      <c r="B2" s="13" t="s">
        <v>147</v>
      </c>
    </row>
    <row r="3" spans="2:5" ht="30" customHeight="1" x14ac:dyDescent="0.3"/>
    <row r="4" spans="2:5" ht="15.6" x14ac:dyDescent="0.3">
      <c r="C4" s="47" t="s">
        <v>137</v>
      </c>
      <c r="D4" s="47"/>
      <c r="E4" s="50">
        <f>SUM(E5:E6)</f>
        <v>864.88300000000004</v>
      </c>
    </row>
    <row r="5" spans="2:5" ht="15.6" x14ac:dyDescent="0.3">
      <c r="C5" s="48"/>
      <c r="D5" s="51" t="s">
        <v>138</v>
      </c>
      <c r="E5" s="52">
        <f>Vendas!D15-Resultados!E6</f>
        <v>803.38300000000004</v>
      </c>
    </row>
    <row r="6" spans="2:5" ht="15.6" x14ac:dyDescent="0.3">
      <c r="C6" s="48"/>
      <c r="D6" s="48" t="s">
        <v>139</v>
      </c>
      <c r="E6" s="53">
        <f>Vendas!D30</f>
        <v>61.5</v>
      </c>
    </row>
    <row r="7" spans="2:5" ht="15.6" x14ac:dyDescent="0.3">
      <c r="C7" s="48" t="s">
        <v>140</v>
      </c>
      <c r="D7" s="48"/>
      <c r="E7" s="53">
        <f>0.15*E4</f>
        <v>129.73245</v>
      </c>
    </row>
    <row r="8" spans="2:5" ht="16.2" thickBot="1" x14ac:dyDescent="0.35">
      <c r="C8" s="54" t="s">
        <v>7</v>
      </c>
      <c r="D8" s="54"/>
      <c r="E8" s="55">
        <f>E4-E7</f>
        <v>735.15055000000007</v>
      </c>
    </row>
    <row r="9" spans="2:5" ht="15.6" x14ac:dyDescent="0.3">
      <c r="C9" s="48"/>
      <c r="D9" s="48"/>
      <c r="E9" s="53"/>
    </row>
    <row r="10" spans="2:5" ht="15.6" x14ac:dyDescent="0.3">
      <c r="C10" s="47" t="s">
        <v>85</v>
      </c>
      <c r="D10" s="47"/>
      <c r="E10" s="50">
        <f>SUM(E11:E12)</f>
        <v>59554.650999999998</v>
      </c>
    </row>
    <row r="11" spans="2:5" ht="15.6" x14ac:dyDescent="0.3">
      <c r="C11" s="48"/>
      <c r="D11" s="48" t="s">
        <v>141</v>
      </c>
      <c r="E11" s="53">
        <f>'Controle Mercadorias'!I28</f>
        <v>14147.651</v>
      </c>
    </row>
    <row r="12" spans="2:5" ht="15.6" x14ac:dyDescent="0.3">
      <c r="C12" s="48"/>
      <c r="D12" s="48" t="s">
        <v>40</v>
      </c>
      <c r="E12" s="53">
        <f>'Despesas Fixas'!G31</f>
        <v>45407</v>
      </c>
    </row>
    <row r="13" spans="2:5" ht="16.2" thickBot="1" x14ac:dyDescent="0.35">
      <c r="C13" s="48"/>
      <c r="D13" s="48"/>
      <c r="E13" s="53"/>
    </row>
    <row r="14" spans="2:5" ht="16.2" thickBot="1" x14ac:dyDescent="0.35">
      <c r="C14" s="56" t="s">
        <v>142</v>
      </c>
      <c r="D14" s="56"/>
      <c r="E14" s="57">
        <f>E4-E10</f>
        <v>-58689.767999999996</v>
      </c>
    </row>
    <row r="15" spans="2:5" ht="16.2" thickTop="1" x14ac:dyDescent="0.3">
      <c r="C15" s="48"/>
      <c r="D15" s="48"/>
      <c r="E15" s="53"/>
    </row>
    <row r="16" spans="2:5" ht="15.6" x14ac:dyDescent="0.3">
      <c r="C16" s="48" t="s">
        <v>86</v>
      </c>
      <c r="D16" s="48"/>
      <c r="E16" s="53">
        <f>Investimentos!E11</f>
        <v>400000</v>
      </c>
    </row>
    <row r="17" spans="3:5" ht="15.6" x14ac:dyDescent="0.3">
      <c r="C17" s="48"/>
      <c r="D17" s="48"/>
      <c r="E17" s="53"/>
    </row>
    <row r="18" spans="3:5" ht="15.6" x14ac:dyDescent="0.3">
      <c r="C18" s="48" t="s">
        <v>143</v>
      </c>
      <c r="D18" s="48"/>
      <c r="E18" s="53">
        <v>300</v>
      </c>
    </row>
    <row r="19" spans="3:5" ht="15.6" x14ac:dyDescent="0.3">
      <c r="C19" s="48"/>
      <c r="D19" s="48"/>
      <c r="E19" s="53"/>
    </row>
    <row r="20" spans="3:5" ht="16.2" thickBot="1" x14ac:dyDescent="0.35">
      <c r="C20" s="49" t="s">
        <v>144</v>
      </c>
      <c r="D20" s="49"/>
      <c r="E20" s="58">
        <f>E14-E16-E18</f>
        <v>-458989.76799999998</v>
      </c>
    </row>
    <row r="21" spans="3:5" ht="16.2" thickTop="1" x14ac:dyDescent="0.3">
      <c r="C21" s="48"/>
      <c r="D21" s="48"/>
      <c r="E21" s="53"/>
    </row>
    <row r="22" spans="3:5" ht="15.6" x14ac:dyDescent="0.3">
      <c r="C22" s="48" t="s">
        <v>145</v>
      </c>
      <c r="D22" s="48"/>
      <c r="E22" s="53">
        <f>IF(E20&gt;1000,0.3*E20,0)</f>
        <v>0</v>
      </c>
    </row>
    <row r="23" spans="3:5" ht="15.6" x14ac:dyDescent="0.3">
      <c r="C23" s="48"/>
      <c r="D23" s="48"/>
      <c r="E23" s="53"/>
    </row>
    <row r="24" spans="3:5" ht="16.2" thickBot="1" x14ac:dyDescent="0.35">
      <c r="C24" s="49" t="s">
        <v>146</v>
      </c>
      <c r="D24" s="49"/>
      <c r="E24" s="58">
        <f>E20-E22</f>
        <v>-458989.76799999998</v>
      </c>
    </row>
    <row r="25" spans="3:5" ht="15" thickTop="1" x14ac:dyDescent="0.3"/>
  </sheetData>
  <conditionalFormatting sqref="E14">
    <cfRule type="cellIs" dxfId="5" priority="7" operator="greaterThan">
      <formula>0</formula>
    </cfRule>
    <cfRule type="cellIs" dxfId="4" priority="8" operator="lessThan">
      <formula>"&lt;0"</formula>
    </cfRule>
  </conditionalFormatting>
  <conditionalFormatting sqref="E20">
    <cfRule type="cellIs" dxfId="3" priority="5" operator="lessThan">
      <formula>0</formula>
    </cfRule>
    <cfRule type="cellIs" dxfId="2" priority="6" operator="greaterThan">
      <formula>0</formula>
    </cfRule>
  </conditionalFormatting>
  <conditionalFormatting sqref="E24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:K58"/>
  <sheetViews>
    <sheetView showGridLines="0" topLeftCell="A43" workbookViewId="0">
      <selection activeCell="H62" sqref="H62"/>
    </sheetView>
  </sheetViews>
  <sheetFormatPr defaultRowHeight="14.4" x14ac:dyDescent="0.3"/>
  <cols>
    <col min="2" max="2" width="18.44140625" customWidth="1"/>
    <col min="3" max="3" width="28.109375" customWidth="1"/>
    <col min="4" max="4" width="16.5546875" bestFit="1" customWidth="1"/>
    <col min="5" max="5" width="18.44140625" customWidth="1"/>
    <col min="6" max="8" width="16.109375" customWidth="1"/>
    <col min="9" max="11" width="19.109375" customWidth="1"/>
  </cols>
  <sheetData>
    <row r="2" spans="2:11" s="14" customFormat="1" ht="21" x14ac:dyDescent="0.4">
      <c r="B2" s="13" t="s">
        <v>6</v>
      </c>
    </row>
    <row r="3" spans="2:11" ht="30" customHeight="1" x14ac:dyDescent="0.3"/>
    <row r="4" spans="2:11" ht="21.6" thickBot="1" x14ac:dyDescent="0.45">
      <c r="K4" s="36" t="s">
        <v>128</v>
      </c>
    </row>
    <row r="5" spans="2:11" s="18" customFormat="1" ht="21.6" thickTop="1" x14ac:dyDescent="0.4">
      <c r="K5" s="19"/>
    </row>
    <row r="6" spans="2:11" x14ac:dyDescent="0.3">
      <c r="B6" s="20"/>
      <c r="C6" s="21"/>
      <c r="D6" s="21"/>
      <c r="E6" s="21"/>
      <c r="F6" s="21"/>
      <c r="G6" s="21"/>
      <c r="H6" s="21"/>
      <c r="I6" s="21"/>
      <c r="J6" s="21"/>
      <c r="K6" s="22"/>
    </row>
    <row r="7" spans="2:11" ht="18" x14ac:dyDescent="0.35">
      <c r="B7" s="23"/>
      <c r="C7" s="30" t="s">
        <v>124</v>
      </c>
      <c r="D7" s="31">
        <f>Semana1!M31</f>
        <v>670.52500000000009</v>
      </c>
      <c r="K7" s="24"/>
    </row>
    <row r="8" spans="2:11" ht="18" x14ac:dyDescent="0.35">
      <c r="B8" s="23"/>
      <c r="C8" s="32" t="s">
        <v>125</v>
      </c>
      <c r="D8" s="33">
        <f>Semana2!M16</f>
        <v>194.358</v>
      </c>
      <c r="K8" s="24"/>
    </row>
    <row r="9" spans="2:11" ht="18" x14ac:dyDescent="0.35">
      <c r="B9" s="23"/>
      <c r="C9" s="32" t="s">
        <v>126</v>
      </c>
      <c r="D9" s="33">
        <f>Semana3!M15</f>
        <v>0</v>
      </c>
      <c r="K9" s="24"/>
    </row>
    <row r="10" spans="2:11" ht="18" x14ac:dyDescent="0.35">
      <c r="B10" s="23"/>
      <c r="C10" s="30" t="s">
        <v>127</v>
      </c>
      <c r="D10" s="31">
        <f>Semana4!M15</f>
        <v>0</v>
      </c>
      <c r="K10" s="24"/>
    </row>
    <row r="11" spans="2:11" ht="18" x14ac:dyDescent="0.35">
      <c r="B11" s="23"/>
      <c r="C11" s="28" t="s">
        <v>129</v>
      </c>
      <c r="D11" s="29">
        <f>Semana5!M15</f>
        <v>0</v>
      </c>
      <c r="K11" s="24"/>
    </row>
    <row r="12" spans="2:11" x14ac:dyDescent="0.3">
      <c r="B12" s="23"/>
      <c r="K12" s="24"/>
    </row>
    <row r="13" spans="2:11" x14ac:dyDescent="0.3">
      <c r="B13" s="23"/>
      <c r="K13" s="24"/>
    </row>
    <row r="14" spans="2:11" x14ac:dyDescent="0.3">
      <c r="B14" s="23"/>
      <c r="K14" s="24"/>
    </row>
    <row r="15" spans="2:11" ht="18" x14ac:dyDescent="0.35">
      <c r="B15" s="23"/>
      <c r="C15" s="15" t="str">
        <f>"Total de Vendas de "&amp;K4</f>
        <v>Total de Vendas de Julho</v>
      </c>
      <c r="D15" s="15">
        <f>SUM(D7:D10)</f>
        <v>864.88300000000004</v>
      </c>
      <c r="K15" s="24"/>
    </row>
    <row r="16" spans="2:11" x14ac:dyDescent="0.3">
      <c r="B16" s="23"/>
      <c r="K16" s="24"/>
    </row>
    <row r="17" spans="2:11" x14ac:dyDescent="0.3">
      <c r="B17" s="23"/>
      <c r="K17" s="24"/>
    </row>
    <row r="18" spans="2:11" x14ac:dyDescent="0.3">
      <c r="B18" s="23"/>
      <c r="K18" s="24"/>
    </row>
    <row r="19" spans="2:11" x14ac:dyDescent="0.3">
      <c r="B19" s="23"/>
      <c r="K19" s="24"/>
    </row>
    <row r="20" spans="2:11" x14ac:dyDescent="0.3">
      <c r="B20" s="23"/>
      <c r="K20" s="24"/>
    </row>
    <row r="21" spans="2:11" x14ac:dyDescent="0.3">
      <c r="B21" s="23"/>
      <c r="K21" s="24"/>
    </row>
    <row r="22" spans="2:11" x14ac:dyDescent="0.3">
      <c r="B22" s="23"/>
      <c r="K22" s="24"/>
    </row>
    <row r="23" spans="2:11" x14ac:dyDescent="0.3">
      <c r="B23" s="25"/>
      <c r="C23" s="26"/>
      <c r="D23" s="26"/>
      <c r="E23" s="26"/>
      <c r="F23" s="26"/>
      <c r="G23" s="26"/>
      <c r="H23" s="26"/>
      <c r="I23" s="26"/>
      <c r="J23" s="26"/>
      <c r="K23" s="27"/>
    </row>
    <row r="26" spans="2:11" x14ac:dyDescent="0.3">
      <c r="B26" s="20"/>
      <c r="C26" s="21"/>
      <c r="D26" s="21"/>
      <c r="E26" s="21"/>
      <c r="F26" s="21"/>
      <c r="G26" s="21"/>
      <c r="H26" s="21"/>
      <c r="I26" s="21"/>
      <c r="J26" s="21"/>
      <c r="K26" s="22"/>
    </row>
    <row r="27" spans="2:11" x14ac:dyDescent="0.3">
      <c r="B27" s="23"/>
      <c r="K27" s="24"/>
    </row>
    <row r="28" spans="2:11" ht="18" x14ac:dyDescent="0.35">
      <c r="B28" s="23"/>
      <c r="C28" s="30" t="s">
        <v>131</v>
      </c>
      <c r="D28" s="45">
        <f>SUM(COUNTIF(Tabela5[Valor de Entrega],"&gt;0"),COUNTIF(Tabela57[Valor de Entrega],"&gt;0"),COUNTIF(Tabela58[Valor de Entrega],"&gt;0"),COUNTIF(Tabela59[Valor de Entrega],"&gt;0"),COUNTIF(Tabela5910[Valor de Entrega],"&gt;0"))/SUM(Semana1!M33,Semana2!M18,Semana3!M17,Semana4!M17,Semana5!M17)</f>
        <v>0.36</v>
      </c>
      <c r="K28" s="24"/>
    </row>
    <row r="29" spans="2:11" ht="18" x14ac:dyDescent="0.35">
      <c r="B29" s="23"/>
      <c r="C29" s="32" t="s">
        <v>132</v>
      </c>
      <c r="D29" s="33">
        <f>SUMIF(Tabela5[Valor de Entrega],"&gt;0",Tabela5[Total para Cliente])+SUMIF(Tabela57[Valor de Entrega],"&gt;0",Tabela57[Total para Cliente])+SUMIF(Tabela58[Valor de Entrega],"&gt;0",Tabela58[Total para Cliente])+SUMIF(Tabela59[Valor de Entrega],"&gt;0",Tabela59[Total para Cliente])+SUMIF(Tabela5910[Valor de Entrega],"&gt;0",Tabela5910[Total para Cliente])</f>
        <v>538.49300000000005</v>
      </c>
      <c r="K29" s="24"/>
    </row>
    <row r="30" spans="2:11" ht="18" x14ac:dyDescent="0.35">
      <c r="B30" s="23"/>
      <c r="C30" s="34" t="s">
        <v>133</v>
      </c>
      <c r="D30" s="35">
        <f>SUM(Semana1!M32+Semana2!M17+Semana3!M16+Semana4!M16+Semana5!M16)</f>
        <v>61.5</v>
      </c>
      <c r="K30" s="24"/>
    </row>
    <row r="31" spans="2:11" x14ac:dyDescent="0.3">
      <c r="B31" s="23"/>
      <c r="K31" s="24"/>
    </row>
    <row r="32" spans="2:11" x14ac:dyDescent="0.3">
      <c r="B32" s="23"/>
      <c r="K32" s="24"/>
    </row>
    <row r="33" spans="2:11" x14ac:dyDescent="0.3">
      <c r="B33" s="23"/>
      <c r="K33" s="24"/>
    </row>
    <row r="34" spans="2:11" x14ac:dyDescent="0.3">
      <c r="B34" s="23"/>
      <c r="K34" s="24"/>
    </row>
    <row r="35" spans="2:11" ht="18" x14ac:dyDescent="0.35">
      <c r="B35" s="23"/>
      <c r="C35" s="15" t="s">
        <v>134</v>
      </c>
      <c r="D35" s="44">
        <f>SUM(Semana1!M31+Semana2!M16+Semana3!M15+Semana4!M15+Semana5!M15)/SUM(Semana1!M33+Semana2!M18+Semana3!M17+Semana4!M17+Semana5!M17)</f>
        <v>34.595320000000001</v>
      </c>
      <c r="K35" s="24"/>
    </row>
    <row r="36" spans="2:11" ht="18" x14ac:dyDescent="0.35">
      <c r="B36" s="23"/>
      <c r="C36" s="15"/>
      <c r="D36" s="44"/>
      <c r="K36" s="24"/>
    </row>
    <row r="37" spans="2:11" ht="18" x14ac:dyDescent="0.35">
      <c r="B37" s="23"/>
      <c r="C37" s="15"/>
      <c r="D37" s="44"/>
      <c r="K37" s="24"/>
    </row>
    <row r="38" spans="2:11" ht="18" x14ac:dyDescent="0.35">
      <c r="B38" s="23"/>
      <c r="C38" s="15"/>
      <c r="D38" s="44"/>
      <c r="K38" s="24"/>
    </row>
    <row r="39" spans="2:11" x14ac:dyDescent="0.3">
      <c r="B39" s="23"/>
      <c r="K39" s="24"/>
    </row>
    <row r="40" spans="2:11" x14ac:dyDescent="0.3">
      <c r="B40" s="23"/>
      <c r="K40" s="24"/>
    </row>
    <row r="41" spans="2:11" x14ac:dyDescent="0.3">
      <c r="B41" s="25"/>
      <c r="C41" s="26"/>
      <c r="D41" s="26"/>
      <c r="E41" s="26"/>
      <c r="F41" s="26"/>
      <c r="G41" s="26"/>
      <c r="H41" s="26"/>
      <c r="I41" s="26"/>
      <c r="J41" s="26"/>
      <c r="K41" s="27"/>
    </row>
    <row r="44" spans="2:11" x14ac:dyDescent="0.3">
      <c r="B44" s="20"/>
      <c r="C44" s="21"/>
      <c r="D44" s="21"/>
      <c r="E44" s="21"/>
      <c r="F44" s="21"/>
      <c r="G44" s="21"/>
      <c r="H44" s="21"/>
      <c r="I44" s="21"/>
      <c r="J44" s="21"/>
      <c r="K44" s="22"/>
    </row>
    <row r="45" spans="2:11" x14ac:dyDescent="0.3">
      <c r="B45" s="23"/>
      <c r="K45" s="24"/>
    </row>
    <row r="46" spans="2:11" ht="18" x14ac:dyDescent="0.35">
      <c r="B46" s="23"/>
      <c r="C46" s="15" t="s">
        <v>136</v>
      </c>
      <c r="K46" s="24"/>
    </row>
    <row r="47" spans="2:11" x14ac:dyDescent="0.3">
      <c r="B47" s="23"/>
      <c r="K47" s="24"/>
    </row>
    <row r="48" spans="2:11" x14ac:dyDescent="0.3">
      <c r="B48" s="23"/>
      <c r="K48" s="24"/>
    </row>
    <row r="49" spans="2:11" x14ac:dyDescent="0.3">
      <c r="B49" s="23"/>
      <c r="K49" s="24"/>
    </row>
    <row r="50" spans="2:11" ht="18" x14ac:dyDescent="0.35">
      <c r="B50" s="23"/>
      <c r="D50" s="28" t="s">
        <v>135</v>
      </c>
      <c r="K50" s="24"/>
    </row>
    <row r="51" spans="2:11" ht="18" x14ac:dyDescent="0.35">
      <c r="B51" s="23"/>
      <c r="C51" s="30" t="s">
        <v>115</v>
      </c>
      <c r="D51" s="46">
        <f>COUNTIFS(Tabela5[Entrega],C51,Tabela5[Total para Cliente],"&gt;0")+COUNTIFS(Tabela57[Entrega],C51,Tabela57[Total para Cliente],"&gt;0")+COUNTIFS(Tabela58[Entrega],C51,Tabela58[Total para Cliente],"&gt;0")+COUNTIFS(Tabela59[Entrega],C51,Tabela59[Total para Cliente],"&gt;0")+COUNTIFS(Tabela5910[Entrega],C51,Tabela5910[Total para Cliente],"&gt;0")</f>
        <v>8</v>
      </c>
      <c r="K51" s="24"/>
    </row>
    <row r="52" spans="2:11" ht="18" x14ac:dyDescent="0.35">
      <c r="B52" s="23"/>
      <c r="C52" s="32" t="s">
        <v>114</v>
      </c>
      <c r="D52" s="32">
        <f>COUNTIFS(Tabela5[Entrega],C52,Tabela5[Total para Cliente],"&gt;0")+COUNTIFS(Tabela57[Entrega],C52,Tabela57[Total para Cliente],"&gt;0")+COUNTIFS(Tabela58[Entrega],C52,Tabela58[Total para Cliente],"&gt;0")+COUNTIFS(Tabela59[Entrega],C52,Tabela59[Total para Cliente],"&gt;0")+COUNTIFS(Tabela5910[Entrega],C52,Tabela5910[Total para Cliente],"&gt;0")</f>
        <v>1</v>
      </c>
      <c r="K52" s="24"/>
    </row>
    <row r="53" spans="2:11" ht="18" x14ac:dyDescent="0.35">
      <c r="B53" s="23"/>
      <c r="C53" s="32" t="s">
        <v>116</v>
      </c>
      <c r="D53" s="32">
        <f>COUNTIFS(Tabela5[Entrega],C53,Tabela5[Total para Cliente],"&gt;0")+COUNTIFS(Tabela57[Entrega],C53,Tabela57[Total para Cliente],"&gt;0")+COUNTIFS(Tabela58[Entrega],C53,Tabela58[Total para Cliente],"&gt;0")+COUNTIFS(Tabela59[Entrega],C53,Tabela59[Total para Cliente],"&gt;0")+COUNTIFS(Tabela5910[Entrega],C53,Tabela5910[Total para Cliente],"&gt;0")</f>
        <v>2</v>
      </c>
      <c r="K53" s="24"/>
    </row>
    <row r="54" spans="2:11" ht="18" x14ac:dyDescent="0.35">
      <c r="B54" s="23"/>
      <c r="C54" s="30" t="s">
        <v>117</v>
      </c>
      <c r="D54" s="46">
        <f>COUNTIFS(Tabela5[Entrega],C54,Tabela5[Total para Cliente],"&gt;0")+COUNTIFS(Tabela57[Entrega],C54,Tabela57[Total para Cliente],"&gt;0")+COUNTIFS(Tabela58[Entrega],C54,Tabela58[Total para Cliente],"&gt;0")+COUNTIFS(Tabela59[Entrega],C54,Tabela59[Total para Cliente],"&gt;0")+COUNTIFS(Tabela5910[Entrega],C54,Tabela5910[Total para Cliente],"&gt;0")</f>
        <v>3</v>
      </c>
      <c r="K54" s="24"/>
    </row>
    <row r="55" spans="2:11" ht="18" x14ac:dyDescent="0.35">
      <c r="B55" s="23"/>
      <c r="C55" s="34" t="s">
        <v>118</v>
      </c>
      <c r="D55" s="34">
        <f>COUNTIFS(Tabela5[Entrega],C55,Tabela5[Total para Cliente],"&gt;0")+COUNTIFS(Tabela57[Entrega],C55,Tabela57[Total para Cliente],"&gt;0")+COUNTIFS(Tabela58[Entrega],C55,Tabela58[Total para Cliente],"&gt;0")+COUNTIFS(Tabela59[Entrega],C55,Tabela59[Total para Cliente],"&gt;0")+COUNTIFS(Tabela5910[Entrega],C55,Tabela5910[Total para Cliente],"&gt;0")</f>
        <v>3</v>
      </c>
      <c r="K55" s="24"/>
    </row>
    <row r="56" spans="2:11" x14ac:dyDescent="0.3">
      <c r="B56" s="23"/>
      <c r="K56" s="24"/>
    </row>
    <row r="57" spans="2:11" x14ac:dyDescent="0.3">
      <c r="B57" s="23"/>
      <c r="K57" s="24"/>
    </row>
    <row r="58" spans="2:11" x14ac:dyDescent="0.3">
      <c r="B58" s="25"/>
      <c r="C58" s="26"/>
      <c r="D58" s="26"/>
      <c r="E58" s="26"/>
      <c r="F58" s="26"/>
      <c r="G58" s="26"/>
      <c r="H58" s="26"/>
      <c r="I58" s="26"/>
      <c r="J58" s="26"/>
      <c r="K58" s="27"/>
    </row>
  </sheetData>
  <phoneticPr fontId="9" type="noConversion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6040A-4687-4421-90DA-16994B168EFC}">
  <dimension ref="B2:M33"/>
  <sheetViews>
    <sheetView showGridLines="0" workbookViewId="0"/>
  </sheetViews>
  <sheetFormatPr defaultRowHeight="14.4" x14ac:dyDescent="0.3"/>
  <cols>
    <col min="2" max="2" width="11.109375" customWidth="1"/>
    <col min="3" max="3" width="10.5546875" bestFit="1" customWidth="1"/>
    <col min="4" max="4" width="14.77734375" bestFit="1" customWidth="1"/>
    <col min="5" max="5" width="9.6640625" bestFit="1" customWidth="1"/>
    <col min="6" max="6" width="13.109375" bestFit="1" customWidth="1"/>
    <col min="7" max="7" width="15.33203125" bestFit="1" customWidth="1"/>
    <col min="8" max="8" width="10.33203125" bestFit="1" customWidth="1"/>
    <col min="9" max="9" width="11.5546875" bestFit="1" customWidth="1"/>
    <col min="10" max="10" width="9.6640625" bestFit="1" customWidth="1"/>
    <col min="11" max="11" width="17.21875" bestFit="1" customWidth="1"/>
    <col min="12" max="12" width="12.6640625" customWidth="1"/>
    <col min="13" max="13" width="18" bestFit="1" customWidth="1"/>
  </cols>
  <sheetData>
    <row r="2" spans="2:13" s="14" customFormat="1" ht="21" x14ac:dyDescent="0.4">
      <c r="B2" s="13" t="s">
        <v>103</v>
      </c>
    </row>
    <row r="3" spans="2:13" ht="30" customHeight="1" x14ac:dyDescent="0.3"/>
    <row r="4" spans="2:13" x14ac:dyDescent="0.3">
      <c r="B4" t="s">
        <v>104</v>
      </c>
      <c r="C4" t="s">
        <v>42</v>
      </c>
      <c r="D4" t="s">
        <v>96</v>
      </c>
      <c r="E4" t="s">
        <v>55</v>
      </c>
      <c r="F4" t="s">
        <v>56</v>
      </c>
      <c r="G4" t="s">
        <v>105</v>
      </c>
      <c r="H4" t="s">
        <v>106</v>
      </c>
      <c r="I4" t="s">
        <v>107</v>
      </c>
      <c r="J4" t="s">
        <v>108</v>
      </c>
      <c r="K4" t="s">
        <v>109</v>
      </c>
      <c r="L4" t="s">
        <v>110</v>
      </c>
      <c r="M4" t="s">
        <v>111</v>
      </c>
    </row>
    <row r="5" spans="2:13" x14ac:dyDescent="0.3">
      <c r="B5">
        <v>13</v>
      </c>
      <c r="C5" s="17">
        <v>42190</v>
      </c>
      <c r="D5" t="s">
        <v>29</v>
      </c>
      <c r="E5" t="str">
        <f>IFERROR(VLOOKUP(Tabela5[[#This Row],[Produto]],cálculos!$H$3:$K$26,4,FALSE),"")</f>
        <v>Pacote</v>
      </c>
      <c r="F5">
        <v>10</v>
      </c>
      <c r="G5" s="3">
        <f>IFERROR(VLOOKUP(Tabela5[[#This Row],[Produto]],cálculos!$H$3:$K$26,3,FALSE),0)</f>
        <v>1.1499999999999999</v>
      </c>
      <c r="H5" s="3">
        <f>Tabela5[[#This Row],[Preco Unitario]]*Tabela5[[#This Row],[Quantidade]]</f>
        <v>11.5</v>
      </c>
      <c r="I5" s="6">
        <v>0.03</v>
      </c>
      <c r="J5" t="s">
        <v>118</v>
      </c>
      <c r="K5" s="3">
        <f>IFERROR(IF(Tabela5[[#This Row],[Id Venda]]=B6,0,VLOOKUP(Tabela5[[#This Row],[Entrega]],cálculos!$B$2:$C$7,2,FALSE)),0)</f>
        <v>0</v>
      </c>
      <c r="L5" s="3">
        <f>Tabela5[[#This Row],[Subtotal]]*(1-Tabela5[[#This Row],[Desconto ]])+Tabela5[[#This Row],[Valor de Entrega]]</f>
        <v>11.154999999999999</v>
      </c>
      <c r="M5" s="3" t="str">
        <f>IF(Tabela5[[#This Row],[Id Venda]]=B6,"",SUMIF(Tabela5[Id Venda],Tabela5[[#This Row],[Id Venda]],Tabela5[Total]))</f>
        <v/>
      </c>
    </row>
    <row r="6" spans="2:13" x14ac:dyDescent="0.3">
      <c r="B6">
        <v>13</v>
      </c>
      <c r="C6" s="17">
        <v>42190</v>
      </c>
      <c r="D6" t="s">
        <v>33</v>
      </c>
      <c r="E6" t="str">
        <f>IFERROR(VLOOKUP(Tabela5[[#This Row],[Produto]],cálculos!$H$3:$K$26,4,FALSE),"")</f>
        <v>Pacote</v>
      </c>
      <c r="F6">
        <v>1</v>
      </c>
      <c r="G6" s="3">
        <f>IFERROR(VLOOKUP(Tabela5[[#This Row],[Produto]],cálculos!$H$3:$K$26,3,FALSE),0)</f>
        <v>0.79</v>
      </c>
      <c r="H6" s="3">
        <f>Tabela5[[#This Row],[Preco Unitario]]*Tabela5[[#This Row],[Quantidade]]</f>
        <v>0.79</v>
      </c>
      <c r="I6" s="6"/>
      <c r="J6" t="s">
        <v>118</v>
      </c>
      <c r="K6" s="3">
        <f>IFERROR(IF(Tabela5[[#This Row],[Id Venda]]=B7,0,VLOOKUP(Tabela5[[#This Row],[Entrega]],cálculos!$B$2:$C$7,2,FALSE)),0)</f>
        <v>0</v>
      </c>
      <c r="L6" s="3">
        <f>Tabela5[[#This Row],[Subtotal]]*(1-Tabela5[[#This Row],[Desconto ]])+Tabela5[[#This Row],[Valor de Entrega]]</f>
        <v>0.79</v>
      </c>
      <c r="M6" s="3" t="str">
        <f>IF(Tabela5[[#This Row],[Id Venda]]=B7,"",SUMIF(Tabela5[Id Venda],Tabela5[[#This Row],[Id Venda]],Tabela5[Total]))</f>
        <v/>
      </c>
    </row>
    <row r="7" spans="2:13" x14ac:dyDescent="0.3">
      <c r="B7">
        <v>13</v>
      </c>
      <c r="C7" s="17">
        <v>42190</v>
      </c>
      <c r="D7" t="s">
        <v>21</v>
      </c>
      <c r="E7" t="str">
        <f>IFERROR(VLOOKUP(Tabela5[[#This Row],[Produto]],cálculos!$H$3:$K$26,4,FALSE),"")</f>
        <v>Kg</v>
      </c>
      <c r="F7">
        <v>10</v>
      </c>
      <c r="G7" s="3">
        <f>IFERROR(VLOOKUP(Tabela5[[#This Row],[Produto]],cálculos!$H$3:$K$26,3,FALSE),0)</f>
        <v>15.9</v>
      </c>
      <c r="H7" s="3">
        <f>Tabela5[[#This Row],[Preco Unitario]]*Tabela5[[#This Row],[Quantidade]]</f>
        <v>159</v>
      </c>
      <c r="I7" s="6"/>
      <c r="J7" t="s">
        <v>118</v>
      </c>
      <c r="K7" s="3">
        <f>IFERROR(IF(Tabela5[[#This Row],[Id Venda]]=B8,0,VLOOKUP(Tabela5[[#This Row],[Entrega]],cálculos!$B$2:$C$7,2,FALSE)),0)</f>
        <v>0</v>
      </c>
      <c r="L7" s="3">
        <f>Tabela5[[#This Row],[Subtotal]]*(1-Tabela5[[#This Row],[Desconto ]])+Tabela5[[#This Row],[Valor de Entrega]]</f>
        <v>159</v>
      </c>
      <c r="M7" s="3" t="str">
        <f>IF(Tabela5[[#This Row],[Id Venda]]=B8,"",SUMIF(Tabela5[Id Venda],Tabela5[[#This Row],[Id Venda]],Tabela5[Total]))</f>
        <v/>
      </c>
    </row>
    <row r="8" spans="2:13" x14ac:dyDescent="0.3">
      <c r="B8">
        <v>13</v>
      </c>
      <c r="C8" s="17">
        <v>42190</v>
      </c>
      <c r="D8" t="s">
        <v>30</v>
      </c>
      <c r="E8" t="str">
        <f>IFERROR(VLOOKUP(Tabela5[[#This Row],[Produto]],cálculos!$H$3:$K$26,4,FALSE),"")</f>
        <v>Lata</v>
      </c>
      <c r="F8">
        <v>24</v>
      </c>
      <c r="G8" s="3">
        <f>IFERROR(VLOOKUP(Tabela5[[#This Row],[Produto]],cálculos!$H$3:$K$26,3,FALSE),0)</f>
        <v>2.19</v>
      </c>
      <c r="H8" s="3">
        <f>Tabela5[[#This Row],[Preco Unitario]]*Tabela5[[#This Row],[Quantidade]]</f>
        <v>52.56</v>
      </c>
      <c r="I8" s="6"/>
      <c r="J8" t="s">
        <v>118</v>
      </c>
      <c r="K8" s="3">
        <f>IFERROR(IF(Tabela5[[#This Row],[Id Venda]]=B9,0,VLOOKUP(Tabela5[[#This Row],[Entrega]],cálculos!$B$2:$C$7,2,FALSE)),0)</f>
        <v>6.5</v>
      </c>
      <c r="L8" s="3">
        <f>Tabela5[[#This Row],[Subtotal]]*(1-Tabela5[[#This Row],[Desconto ]])+Tabela5[[#This Row],[Valor de Entrega]]</f>
        <v>59.06</v>
      </c>
      <c r="M8" s="3">
        <f>IF(Tabela5[[#This Row],[Id Venda]]=B9,"",SUMIF(Tabela5[Id Venda],Tabela5[[#This Row],[Id Venda]],Tabela5[Total]))</f>
        <v>230.005</v>
      </c>
    </row>
    <row r="9" spans="2:13" x14ac:dyDescent="0.3">
      <c r="B9">
        <v>12</v>
      </c>
      <c r="C9" s="17">
        <v>42189</v>
      </c>
      <c r="D9" t="s">
        <v>30</v>
      </c>
      <c r="E9" t="str">
        <f>IFERROR(VLOOKUP(Tabela5[[#This Row],[Produto]],cálculos!$H$3:$K$26,4,FALSE),"")</f>
        <v>Lata</v>
      </c>
      <c r="F9">
        <v>1</v>
      </c>
      <c r="G9" s="3">
        <f>IFERROR(VLOOKUP(Tabela5[[#This Row],[Produto]],cálculos!$H$3:$K$26,3,FALSE),0)</f>
        <v>2.19</v>
      </c>
      <c r="H9" s="3">
        <f>Tabela5[[#This Row],[Preco Unitario]]*Tabela5[[#This Row],[Quantidade]]</f>
        <v>2.19</v>
      </c>
      <c r="I9" s="6"/>
      <c r="J9" t="s">
        <v>115</v>
      </c>
      <c r="K9" s="3">
        <f>IFERROR(IF(Tabela5[[#This Row],[Id Venda]]=B10,0,VLOOKUP(Tabela5[[#This Row],[Entrega]],cálculos!$B$2:$C$7,2,FALSE)),0)</f>
        <v>0</v>
      </c>
      <c r="L9" s="3">
        <f>Tabela5[[#This Row],[Subtotal]]*(1-Tabela5[[#This Row],[Desconto ]])+Tabela5[[#This Row],[Valor de Entrega]]</f>
        <v>2.19</v>
      </c>
      <c r="M9" s="3">
        <f>IF(Tabela5[[#This Row],[Id Venda]]=B10,"",SUMIF(Tabela5[Id Venda],Tabela5[[#This Row],[Id Venda]],Tabela5[Total]))</f>
        <v>2.19</v>
      </c>
    </row>
    <row r="10" spans="2:13" x14ac:dyDescent="0.3">
      <c r="B10">
        <v>11</v>
      </c>
      <c r="C10" s="17">
        <v>42189</v>
      </c>
      <c r="D10" t="s">
        <v>30</v>
      </c>
      <c r="E10" t="str">
        <f>IFERROR(VLOOKUP(Tabela5[[#This Row],[Produto]],cálculos!$H$3:$K$26,4,FALSE),"")</f>
        <v>Lata</v>
      </c>
      <c r="F10">
        <v>10</v>
      </c>
      <c r="G10" s="3">
        <f>IFERROR(VLOOKUP(Tabela5[[#This Row],[Produto]],cálculos!$H$3:$K$26,3,FALSE),0)</f>
        <v>2.19</v>
      </c>
      <c r="H10" s="3">
        <f>Tabela5[[#This Row],[Preco Unitario]]*Tabela5[[#This Row],[Quantidade]]</f>
        <v>21.9</v>
      </c>
      <c r="I10" s="6"/>
      <c r="J10" t="s">
        <v>115</v>
      </c>
      <c r="K10" s="3">
        <f>IFERROR(IF(Tabela5[[#This Row],[Id Venda]]=B11,0,VLOOKUP(Tabela5[[#This Row],[Entrega]],cálculos!$B$2:$C$7,2,FALSE)),0)</f>
        <v>0</v>
      </c>
      <c r="L10" s="3">
        <f>Tabela5[[#This Row],[Subtotal]]*(1-Tabela5[[#This Row],[Desconto ]])+Tabela5[[#This Row],[Valor de Entrega]]</f>
        <v>21.9</v>
      </c>
      <c r="M10" s="3">
        <f>IF(Tabela5[[#This Row],[Id Venda]]=B11,"",SUMIF(Tabela5[Id Venda],Tabela5[[#This Row],[Id Venda]],Tabela5[Total]))</f>
        <v>21.9</v>
      </c>
    </row>
    <row r="11" spans="2:13" x14ac:dyDescent="0.3">
      <c r="B11">
        <v>10</v>
      </c>
      <c r="C11" s="17">
        <v>42189</v>
      </c>
      <c r="D11" t="s">
        <v>18</v>
      </c>
      <c r="E11" t="str">
        <f>IFERROR(VLOOKUP(Tabela5[[#This Row],[Produto]],cálculos!$H$3:$K$26,4,FALSE),"")</f>
        <v>Kg</v>
      </c>
      <c r="F11">
        <v>6</v>
      </c>
      <c r="G11" s="3">
        <f>IFERROR(VLOOKUP(Tabela5[[#This Row],[Produto]],cálculos!$H$3:$K$26,3,FALSE),0)</f>
        <v>4.28</v>
      </c>
      <c r="H11" s="3">
        <f>Tabela5[[#This Row],[Preco Unitario]]*Tabela5[[#This Row],[Quantidade]]</f>
        <v>25.68</v>
      </c>
      <c r="I11" s="6"/>
      <c r="J11" t="s">
        <v>115</v>
      </c>
      <c r="K11" s="3">
        <f>IFERROR(IF(Tabela5[[#This Row],[Id Venda]]=B12,0,VLOOKUP(Tabela5[[#This Row],[Entrega]],cálculos!$B$2:$C$7,2,FALSE)),0)</f>
        <v>0</v>
      </c>
      <c r="L11" s="3">
        <f>Tabela5[[#This Row],[Subtotal]]*(1-Tabela5[[#This Row],[Desconto ]])+Tabela5[[#This Row],[Valor de Entrega]]</f>
        <v>25.68</v>
      </c>
      <c r="M11" s="3" t="str">
        <f>IF(Tabela5[[#This Row],[Id Venda]]=B12,"",SUMIF(Tabela5[Id Venda],Tabela5[[#This Row],[Id Venda]],Tabela5[Total]))</f>
        <v/>
      </c>
    </row>
    <row r="12" spans="2:13" x14ac:dyDescent="0.3">
      <c r="B12">
        <v>10</v>
      </c>
      <c r="C12" s="17">
        <v>42189</v>
      </c>
      <c r="D12" t="s">
        <v>72</v>
      </c>
      <c r="E12" t="str">
        <f>IFERROR(VLOOKUP(Tabela5[[#This Row],[Produto]],cálculos!$H$3:$K$26,4,FALSE),"")</f>
        <v>Litro</v>
      </c>
      <c r="F12">
        <v>4</v>
      </c>
      <c r="G12" s="3">
        <f>IFERROR(VLOOKUP(Tabela5[[#This Row],[Produto]],cálculos!$H$3:$K$26,3,FALSE),0)</f>
        <v>2.39</v>
      </c>
      <c r="H12" s="3">
        <f>Tabela5[[#This Row],[Preco Unitario]]*Tabela5[[#This Row],[Quantidade]]</f>
        <v>9.56</v>
      </c>
      <c r="I12" s="6"/>
      <c r="J12" t="s">
        <v>115</v>
      </c>
      <c r="K12" s="3">
        <f>IFERROR(IF(Tabela5[[#This Row],[Id Venda]]=B13,0,VLOOKUP(Tabela5[[#This Row],[Entrega]],cálculos!$B$2:$C$7,2,FALSE)),0)</f>
        <v>0</v>
      </c>
      <c r="L12" s="3">
        <f>Tabela5[[#This Row],[Subtotal]]*(1-Tabela5[[#This Row],[Desconto ]])+Tabela5[[#This Row],[Valor de Entrega]]</f>
        <v>9.56</v>
      </c>
      <c r="M12" s="3">
        <f>IF(Tabela5[[#This Row],[Id Venda]]=B13,"",SUMIF(Tabela5[Id Venda],Tabela5[[#This Row],[Id Venda]],Tabela5[Total]))</f>
        <v>35.24</v>
      </c>
    </row>
    <row r="13" spans="2:13" x14ac:dyDescent="0.3">
      <c r="B13">
        <v>9</v>
      </c>
      <c r="C13" s="17">
        <v>42188</v>
      </c>
      <c r="D13" t="s">
        <v>71</v>
      </c>
      <c r="E13" t="str">
        <f>IFERROR(VLOOKUP(Tabela5[[#This Row],[Produto]],cálculos!$H$3:$K$26,4,FALSE),"")</f>
        <v>Unidade</v>
      </c>
      <c r="F13">
        <v>5</v>
      </c>
      <c r="G13" s="3">
        <f>IFERROR(VLOOKUP(Tabela5[[#This Row],[Produto]],cálculos!$H$3:$K$26,3,FALSE),0)</f>
        <v>2.89</v>
      </c>
      <c r="H13" s="3">
        <f>Tabela5[[#This Row],[Preco Unitario]]*Tabela5[[#This Row],[Quantidade]]</f>
        <v>14.450000000000001</v>
      </c>
      <c r="I13" s="6"/>
      <c r="J13" t="s">
        <v>115</v>
      </c>
      <c r="K13" s="3">
        <f>IFERROR(IF(Tabela5[[#This Row],[Id Venda]]=B14,0,VLOOKUP(Tabela5[[#This Row],[Entrega]],cálculos!$B$2:$C$7,2,FALSE)),0)</f>
        <v>0</v>
      </c>
      <c r="L13" s="3">
        <f>Tabela5[[#This Row],[Subtotal]]*(1-Tabela5[[#This Row],[Desconto ]])+Tabela5[[#This Row],[Valor de Entrega]]</f>
        <v>14.450000000000001</v>
      </c>
      <c r="M13" s="3" t="str">
        <f>IF(Tabela5[[#This Row],[Id Venda]]=B14,"",SUMIF(Tabela5[Id Venda],Tabela5[[#This Row],[Id Venda]],Tabela5[Total]))</f>
        <v/>
      </c>
    </row>
    <row r="14" spans="2:13" x14ac:dyDescent="0.3">
      <c r="B14">
        <v>9</v>
      </c>
      <c r="C14" s="17">
        <v>42188</v>
      </c>
      <c r="D14" t="s">
        <v>28</v>
      </c>
      <c r="E14" t="str">
        <f>IFERROR(VLOOKUP(Tabela5[[#This Row],[Produto]],cálculos!$H$3:$K$26,4,FALSE),"")</f>
        <v>Kg</v>
      </c>
      <c r="F14">
        <v>2</v>
      </c>
      <c r="G14" s="3">
        <f>IFERROR(VLOOKUP(Tabela5[[#This Row],[Produto]],cálculos!$H$3:$K$26,3,FALSE),0)</f>
        <v>9.58</v>
      </c>
      <c r="H14" s="3">
        <f>Tabela5[[#This Row],[Preco Unitario]]*Tabela5[[#This Row],[Quantidade]]</f>
        <v>19.16</v>
      </c>
      <c r="I14" s="6"/>
      <c r="J14" t="s">
        <v>115</v>
      </c>
      <c r="K14" s="3">
        <f>IFERROR(IF(Tabela5[[#This Row],[Id Venda]]=B15,0,VLOOKUP(Tabela5[[#This Row],[Entrega]],cálculos!$B$2:$C$7,2,FALSE)),0)</f>
        <v>0</v>
      </c>
      <c r="L14" s="3">
        <f>Tabela5[[#This Row],[Subtotal]]*(1-Tabela5[[#This Row],[Desconto ]])+Tabela5[[#This Row],[Valor de Entrega]]</f>
        <v>19.16</v>
      </c>
      <c r="M14" s="3" t="str">
        <f>IF(Tabela5[[#This Row],[Id Venda]]=B15,"",SUMIF(Tabela5[Id Venda],Tabela5[[#This Row],[Id Venda]],Tabela5[Total]))</f>
        <v/>
      </c>
    </row>
    <row r="15" spans="2:13" x14ac:dyDescent="0.3">
      <c r="B15">
        <v>9</v>
      </c>
      <c r="C15" s="17">
        <v>42188</v>
      </c>
      <c r="D15" t="s">
        <v>24</v>
      </c>
      <c r="E15" t="str">
        <f>IFERROR(VLOOKUP(Tabela5[[#This Row],[Produto]],cálculos!$H$3:$K$26,4,FALSE),"")</f>
        <v>Kg</v>
      </c>
      <c r="F15">
        <v>1.5</v>
      </c>
      <c r="G15" s="3">
        <f>IFERROR(VLOOKUP(Tabela5[[#This Row],[Produto]],cálculos!$H$3:$K$26,3,FALSE),0)</f>
        <v>25.9</v>
      </c>
      <c r="H15" s="3">
        <f>Tabela5[[#This Row],[Preco Unitario]]*Tabela5[[#This Row],[Quantidade]]</f>
        <v>38.849999999999994</v>
      </c>
      <c r="I15" s="6"/>
      <c r="J15" t="s">
        <v>115</v>
      </c>
      <c r="K15" s="3">
        <f>IFERROR(IF(Tabela5[[#This Row],[Id Venda]]=B16,0,VLOOKUP(Tabela5[[#This Row],[Entrega]],cálculos!$B$2:$C$7,2,FALSE)),0)</f>
        <v>0</v>
      </c>
      <c r="L15" s="3">
        <f>Tabela5[[#This Row],[Subtotal]]*(1-Tabela5[[#This Row],[Desconto ]])+Tabela5[[#This Row],[Valor de Entrega]]</f>
        <v>38.849999999999994</v>
      </c>
      <c r="M15" s="3" t="str">
        <f>IF(Tabela5[[#This Row],[Id Venda]]=B16,"",SUMIF(Tabela5[Id Venda],Tabela5[[#This Row],[Id Venda]],Tabela5[Total]))</f>
        <v/>
      </c>
    </row>
    <row r="16" spans="2:13" x14ac:dyDescent="0.3">
      <c r="B16">
        <v>9</v>
      </c>
      <c r="C16" s="17">
        <v>42188</v>
      </c>
      <c r="D16" t="s">
        <v>18</v>
      </c>
      <c r="E16" t="str">
        <f>IFERROR(VLOOKUP(Tabela5[[#This Row],[Produto]],cálculos!$H$3:$K$26,4,FALSE),"")</f>
        <v>Kg</v>
      </c>
      <c r="F16">
        <v>4</v>
      </c>
      <c r="G16" s="3">
        <f>IFERROR(VLOOKUP(Tabela5[[#This Row],[Produto]],cálculos!$H$3:$K$26,3,FALSE),0)</f>
        <v>4.28</v>
      </c>
      <c r="H16" s="3">
        <f>Tabela5[[#This Row],[Preco Unitario]]*Tabela5[[#This Row],[Quantidade]]</f>
        <v>17.12</v>
      </c>
      <c r="I16" s="6"/>
      <c r="J16" t="s">
        <v>115</v>
      </c>
      <c r="K16" s="3">
        <f>IFERROR(IF(Tabela5[[#This Row],[Id Venda]]=B17,0,VLOOKUP(Tabela5[[#This Row],[Entrega]],cálculos!$B$2:$C$7,2,FALSE)),0)</f>
        <v>0</v>
      </c>
      <c r="L16" s="3">
        <f>Tabela5[[#This Row],[Subtotal]]*(1-Tabela5[[#This Row],[Desconto ]])+Tabela5[[#This Row],[Valor de Entrega]]</f>
        <v>17.12</v>
      </c>
      <c r="M16" s="3">
        <f>IF(Tabela5[[#This Row],[Id Venda]]=B17,"",SUMIF(Tabela5[Id Venda],Tabela5[[#This Row],[Id Venda]],Tabela5[Total]))</f>
        <v>89.58</v>
      </c>
    </row>
    <row r="17" spans="2:13" x14ac:dyDescent="0.3">
      <c r="B17">
        <v>8</v>
      </c>
      <c r="C17" s="17">
        <v>42188</v>
      </c>
      <c r="D17" t="s">
        <v>30</v>
      </c>
      <c r="E17" t="str">
        <f>IFERROR(VLOOKUP(Tabela5[[#This Row],[Produto]],cálculos!$H$3:$K$26,4,FALSE),"")</f>
        <v>Lata</v>
      </c>
      <c r="F17">
        <v>20</v>
      </c>
      <c r="G17" s="3">
        <f>IFERROR(VLOOKUP(Tabela5[[#This Row],[Produto]],cálculos!$H$3:$K$26,3,FALSE),0)</f>
        <v>2.19</v>
      </c>
      <c r="H17" s="3">
        <f>Tabela5[[#This Row],[Preco Unitario]]*Tabela5[[#This Row],[Quantidade]]</f>
        <v>43.8</v>
      </c>
      <c r="I17" s="6"/>
      <c r="J17" t="s">
        <v>118</v>
      </c>
      <c r="K17" s="3">
        <f>IFERROR(IF(Tabela5[[#This Row],[Id Venda]]=B18,0,VLOOKUP(Tabela5[[#This Row],[Entrega]],cálculos!$B$2:$C$7,2,FALSE)),0)</f>
        <v>6.5</v>
      </c>
      <c r="L17" s="3">
        <f>Tabela5[[#This Row],[Subtotal]]*(1-Tabela5[[#This Row],[Desconto ]])+Tabela5[[#This Row],[Valor de Entrega]]</f>
        <v>50.3</v>
      </c>
      <c r="M17" s="3">
        <f>IF(Tabela5[[#This Row],[Id Venda]]=B18,"",SUMIF(Tabela5[Id Venda],Tabela5[[#This Row],[Id Venda]],Tabela5[Total]))</f>
        <v>50.3</v>
      </c>
    </row>
    <row r="18" spans="2:13" x14ac:dyDescent="0.3">
      <c r="B18">
        <v>7</v>
      </c>
      <c r="C18" s="17">
        <v>42188</v>
      </c>
      <c r="D18" t="s">
        <v>30</v>
      </c>
      <c r="E18" t="str">
        <f>IFERROR(VLOOKUP(Tabela5[[#This Row],[Produto]],cálculos!$H$3:$K$26,4,FALSE),"")</f>
        <v>Lata</v>
      </c>
      <c r="F18">
        <v>20</v>
      </c>
      <c r="G18" s="3">
        <f>IFERROR(VLOOKUP(Tabela5[[#This Row],[Produto]],cálculos!$H$3:$K$26,3,FALSE),0)</f>
        <v>2.19</v>
      </c>
      <c r="H18" s="3">
        <f>Tabela5[[#This Row],[Preco Unitario]]*Tabela5[[#This Row],[Quantidade]]</f>
        <v>43.8</v>
      </c>
      <c r="I18" s="6"/>
      <c r="J18" t="s">
        <v>115</v>
      </c>
      <c r="K18" s="3">
        <f>IFERROR(IF(Tabela5[[#This Row],[Id Venda]]=B19,0,VLOOKUP(Tabela5[[#This Row],[Entrega]],cálculos!$B$2:$C$7,2,FALSE)),0)</f>
        <v>0</v>
      </c>
      <c r="L18" s="3">
        <f>Tabela5[[#This Row],[Subtotal]]*(1-Tabela5[[#This Row],[Desconto ]])+Tabela5[[#This Row],[Valor de Entrega]]</f>
        <v>43.8</v>
      </c>
      <c r="M18" s="3">
        <f>IF(Tabela5[[#This Row],[Id Venda]]=B19,"",SUMIF(Tabela5[Id Venda],Tabela5[[#This Row],[Id Venda]],Tabela5[Total]))</f>
        <v>43.8</v>
      </c>
    </row>
    <row r="19" spans="2:13" x14ac:dyDescent="0.3">
      <c r="B19">
        <v>6</v>
      </c>
      <c r="C19" s="17">
        <v>42188</v>
      </c>
      <c r="D19" t="s">
        <v>33</v>
      </c>
      <c r="E19" t="str">
        <f>IFERROR(VLOOKUP(Tabela5[[#This Row],[Produto]],cálculos!$H$3:$K$26,4,FALSE),"")</f>
        <v>Pacote</v>
      </c>
      <c r="F19">
        <v>2</v>
      </c>
      <c r="G19" s="3">
        <f>IFERROR(VLOOKUP(Tabela5[[#This Row],[Produto]],cálculos!$H$3:$K$26,3,FALSE),0)</f>
        <v>0.79</v>
      </c>
      <c r="H19" s="3">
        <f>Tabela5[[#This Row],[Preco Unitario]]*Tabela5[[#This Row],[Quantidade]]</f>
        <v>1.58</v>
      </c>
      <c r="I19" s="6"/>
      <c r="J19" t="s">
        <v>115</v>
      </c>
      <c r="K19" s="3">
        <f>IFERROR(IF(Tabela5[[#This Row],[Id Venda]]=B20,0,VLOOKUP(Tabela5[[#This Row],[Entrega]],cálculos!$B$2:$C$7,2,FALSE)),0)</f>
        <v>0</v>
      </c>
      <c r="L19" s="3">
        <f>Tabela5[[#This Row],[Subtotal]]*(1-Tabela5[[#This Row],[Desconto ]])+Tabela5[[#This Row],[Valor de Entrega]]</f>
        <v>1.58</v>
      </c>
      <c r="M19" s="3" t="str">
        <f>IF(Tabela5[[#This Row],[Id Venda]]=B20,"",SUMIF(Tabela5[Id Venda],Tabela5[[#This Row],[Id Venda]],Tabela5[Total]))</f>
        <v/>
      </c>
    </row>
    <row r="20" spans="2:13" x14ac:dyDescent="0.3">
      <c r="B20">
        <v>6</v>
      </c>
      <c r="C20" s="17">
        <v>42188</v>
      </c>
      <c r="D20" t="s">
        <v>21</v>
      </c>
      <c r="E20" t="str">
        <f>IFERROR(VLOOKUP(Tabela5[[#This Row],[Produto]],cálculos!$H$3:$K$26,4,FALSE),"")</f>
        <v>Kg</v>
      </c>
      <c r="F20">
        <v>6</v>
      </c>
      <c r="G20" s="3">
        <f>IFERROR(VLOOKUP(Tabela5[[#This Row],[Produto]],cálculos!$H$3:$K$26,3,FALSE),0)</f>
        <v>15.9</v>
      </c>
      <c r="H20" s="3">
        <f>Tabela5[[#This Row],[Preco Unitario]]*Tabela5[[#This Row],[Quantidade]]</f>
        <v>95.4</v>
      </c>
      <c r="I20" s="6"/>
      <c r="J20" t="s">
        <v>115</v>
      </c>
      <c r="K20" s="3">
        <f>IFERROR(IF(Tabela5[[#This Row],[Id Venda]]=B21,0,VLOOKUP(Tabela5[[#This Row],[Entrega]],cálculos!$B$2:$C$7,2,FALSE)),0)</f>
        <v>0</v>
      </c>
      <c r="L20" s="3">
        <f>Tabela5[[#This Row],[Subtotal]]*(1-Tabela5[[#This Row],[Desconto ]])+Tabela5[[#This Row],[Valor de Entrega]]</f>
        <v>95.4</v>
      </c>
      <c r="M20" s="3" t="str">
        <f>IF(Tabela5[[#This Row],[Id Venda]]=B21,"",SUMIF(Tabela5[Id Venda],Tabela5[[#This Row],[Id Venda]],Tabela5[Total]))</f>
        <v/>
      </c>
    </row>
    <row r="21" spans="2:13" x14ac:dyDescent="0.3">
      <c r="B21">
        <v>6</v>
      </c>
      <c r="C21" s="17">
        <v>42188</v>
      </c>
      <c r="D21" t="s">
        <v>30</v>
      </c>
      <c r="E21" t="str">
        <f>IFERROR(VLOOKUP(Tabela5[[#This Row],[Produto]],cálculos!$H$3:$K$26,4,FALSE),"")</f>
        <v>Lata</v>
      </c>
      <c r="F21">
        <v>12</v>
      </c>
      <c r="G21" s="3">
        <f>IFERROR(VLOOKUP(Tabela5[[#This Row],[Produto]],cálculos!$H$3:$K$26,3,FALSE),0)</f>
        <v>2.19</v>
      </c>
      <c r="H21" s="3">
        <f>Tabela5[[#This Row],[Preco Unitario]]*Tabela5[[#This Row],[Quantidade]]</f>
        <v>26.28</v>
      </c>
      <c r="I21" s="6"/>
      <c r="J21" t="s">
        <v>115</v>
      </c>
      <c r="K21" s="3">
        <f>IFERROR(IF(Tabela5[[#This Row],[Id Venda]]=B22,0,VLOOKUP(Tabela5[[#This Row],[Entrega]],cálculos!$B$2:$C$7,2,FALSE)),0)</f>
        <v>0</v>
      </c>
      <c r="L21" s="3">
        <f>Tabela5[[#This Row],[Subtotal]]*(1-Tabela5[[#This Row],[Desconto ]])+Tabela5[[#This Row],[Valor de Entrega]]</f>
        <v>26.28</v>
      </c>
      <c r="M21" s="3">
        <f>IF(Tabela5[[#This Row],[Id Venda]]=B22,"",SUMIF(Tabela5[Id Venda],Tabela5[[#This Row],[Id Venda]],Tabela5[Total]))</f>
        <v>123.26</v>
      </c>
    </row>
    <row r="22" spans="2:13" x14ac:dyDescent="0.3">
      <c r="B22">
        <v>5</v>
      </c>
      <c r="C22" s="17">
        <v>42187</v>
      </c>
      <c r="D22" t="s">
        <v>20</v>
      </c>
      <c r="E22" t="str">
        <f>IFERROR(VLOOKUP(Tabela5[[#This Row],[Produto]],cálculos!$H$3:$K$26,4,FALSE),"")</f>
        <v>Unidade</v>
      </c>
      <c r="F22">
        <v>3</v>
      </c>
      <c r="G22" s="3">
        <f>IFERROR(VLOOKUP(Tabela5[[#This Row],[Produto]],cálculos!$H$3:$K$26,3,FALSE),0)</f>
        <v>2.99</v>
      </c>
      <c r="H22" s="3">
        <f>Tabela5[[#This Row],[Preco Unitario]]*Tabela5[[#This Row],[Quantidade]]</f>
        <v>8.9700000000000006</v>
      </c>
      <c r="I22" s="6"/>
      <c r="J22" t="s">
        <v>118</v>
      </c>
      <c r="K22" s="3">
        <f>IFERROR(IF(Tabela5[[#This Row],[Id Venda]]=B23,0,VLOOKUP(Tabela5[[#This Row],[Entrega]],cálculos!$B$2:$C$7,2,FALSE)),0)</f>
        <v>6.5</v>
      </c>
      <c r="L22" s="3">
        <f>Tabela5[[#This Row],[Subtotal]]*(1-Tabela5[[#This Row],[Desconto ]])+Tabela5[[#This Row],[Valor de Entrega]]</f>
        <v>15.47</v>
      </c>
      <c r="M22" s="3">
        <f>IF(Tabela5[[#This Row],[Id Venda]]=B23,"",SUMIF(Tabela5[Id Venda],Tabela5[[#This Row],[Id Venda]],Tabela5[Total]))</f>
        <v>15.47</v>
      </c>
    </row>
    <row r="23" spans="2:13" x14ac:dyDescent="0.3">
      <c r="B23">
        <v>4</v>
      </c>
      <c r="C23" s="17">
        <v>42187</v>
      </c>
      <c r="D23" t="s">
        <v>34</v>
      </c>
      <c r="E23" t="str">
        <f>IFERROR(VLOOKUP(Tabela5[[#This Row],[Produto]],cálculos!$H$3:$K$26,4,FALSE),"")</f>
        <v>Pacote</v>
      </c>
      <c r="F23">
        <v>2</v>
      </c>
      <c r="G23" s="3">
        <f>IFERROR(VLOOKUP(Tabela5[[#This Row],[Produto]],cálculos!$H$3:$K$26,3,FALSE),0)</f>
        <v>1.99</v>
      </c>
      <c r="H23" s="3">
        <f>Tabela5[[#This Row],[Preco Unitario]]*Tabela5[[#This Row],[Quantidade]]</f>
        <v>3.98</v>
      </c>
      <c r="I23" s="6"/>
      <c r="J23" t="s">
        <v>116</v>
      </c>
      <c r="K23" s="3">
        <f>IFERROR(IF(Tabela5[[#This Row],[Id Venda]]=B24,0,VLOOKUP(Tabela5[[#This Row],[Entrega]],cálculos!$B$2:$C$7,2,FALSE)),0)</f>
        <v>0</v>
      </c>
      <c r="L23" s="3">
        <f>Tabela5[[#This Row],[Subtotal]]*(1-Tabela5[[#This Row],[Desconto ]])+Tabela5[[#This Row],[Valor de Entrega]]</f>
        <v>3.98</v>
      </c>
      <c r="M23" s="3" t="str">
        <f>IF(Tabela5[[#This Row],[Id Venda]]=B24,"",SUMIF(Tabela5[Id Venda],Tabela5[[#This Row],[Id Venda]],Tabela5[Total]))</f>
        <v/>
      </c>
    </row>
    <row r="24" spans="2:13" x14ac:dyDescent="0.3">
      <c r="B24">
        <v>4</v>
      </c>
      <c r="C24" s="17">
        <v>42187</v>
      </c>
      <c r="D24" t="s">
        <v>17</v>
      </c>
      <c r="E24" t="str">
        <f>IFERROR(VLOOKUP(Tabela5[[#This Row],[Produto]],cálculos!$H$3:$K$26,4,FALSE),"")</f>
        <v>Kg</v>
      </c>
      <c r="F24">
        <v>5</v>
      </c>
      <c r="G24" s="3">
        <f>IFERROR(VLOOKUP(Tabela5[[#This Row],[Produto]],cálculos!$H$3:$K$26,3,FALSE),0)</f>
        <v>2.4900000000000002</v>
      </c>
      <c r="H24" s="3">
        <f>Tabela5[[#This Row],[Preco Unitario]]*Tabela5[[#This Row],[Quantidade]]</f>
        <v>12.450000000000001</v>
      </c>
      <c r="I24" s="6"/>
      <c r="J24" t="s">
        <v>116</v>
      </c>
      <c r="K24" s="3">
        <f>IFERROR(IF(Tabela5[[#This Row],[Id Venda]]=B25,0,VLOOKUP(Tabela5[[#This Row],[Entrega]],cálculos!$B$2:$C$7,2,FALSE)),0)</f>
        <v>6.5</v>
      </c>
      <c r="L24" s="3">
        <f>Tabela5[[#This Row],[Subtotal]]*(1-Tabela5[[#This Row],[Desconto ]])+Tabela5[[#This Row],[Valor de Entrega]]</f>
        <v>18.950000000000003</v>
      </c>
      <c r="M24" s="3">
        <f>IF(Tabela5[[#This Row],[Id Venda]]=B25,"",SUMIF(Tabela5[Id Venda],Tabela5[[#This Row],[Id Venda]],Tabela5[Total]))</f>
        <v>22.930000000000003</v>
      </c>
    </row>
    <row r="25" spans="2:13" x14ac:dyDescent="0.3">
      <c r="B25">
        <v>3</v>
      </c>
      <c r="C25" s="17">
        <v>42187</v>
      </c>
      <c r="D25" t="s">
        <v>66</v>
      </c>
      <c r="E25" t="str">
        <f>IFERROR(VLOOKUP(Tabela5[[#This Row],[Produto]],cálculos!$H$3:$K$26,4,FALSE),"")</f>
        <v>Litro</v>
      </c>
      <c r="F25">
        <v>6</v>
      </c>
      <c r="G25" s="3">
        <f>IFERROR(VLOOKUP(Tabela5[[#This Row],[Produto]],cálculos!$H$3:$K$26,3,FALSE),0)</f>
        <v>1.49</v>
      </c>
      <c r="H25" s="3">
        <f>Tabela5[[#This Row],[Preco Unitario]]*Tabela5[[#This Row],[Quantidade]]</f>
        <v>8.94</v>
      </c>
      <c r="I25" s="6"/>
      <c r="J25" t="s">
        <v>117</v>
      </c>
      <c r="K25" s="3">
        <f>IFERROR(IF(Tabela5[[#This Row],[Id Venda]]=B26,0,VLOOKUP(Tabela5[[#This Row],[Entrega]],cálculos!$B$2:$C$7,2,FALSE)),0)</f>
        <v>8</v>
      </c>
      <c r="L25" s="3">
        <f>Tabela5[[#This Row],[Subtotal]]*(1-Tabela5[[#This Row],[Desconto ]])+Tabela5[[#This Row],[Valor de Entrega]]</f>
        <v>16.939999999999998</v>
      </c>
      <c r="M25" s="3">
        <f>IF(Tabela5[[#This Row],[Id Venda]]=B26,"",SUMIF(Tabela5[Id Venda],Tabela5[[#This Row],[Id Venda]],Tabela5[Total]))</f>
        <v>16.939999999999998</v>
      </c>
    </row>
    <row r="26" spans="2:13" x14ac:dyDescent="0.3">
      <c r="B26">
        <v>2</v>
      </c>
      <c r="C26" s="17">
        <v>42187</v>
      </c>
      <c r="D26" t="s">
        <v>34</v>
      </c>
      <c r="E26" t="str">
        <f>IFERROR(VLOOKUP(Tabela5[[#This Row],[Produto]],cálculos!$H$3:$K$26,4,FALSE),"")</f>
        <v>Pacote</v>
      </c>
      <c r="F26">
        <v>1</v>
      </c>
      <c r="G26" s="3">
        <f>IFERROR(VLOOKUP(Tabela5[[#This Row],[Produto]],cálculos!$H$3:$K$26,3,FALSE),0)</f>
        <v>1.99</v>
      </c>
      <c r="H26" s="3">
        <f>Tabela5[[#This Row],[Preco Unitario]]*Tabela5[[#This Row],[Quantidade]]</f>
        <v>1.99</v>
      </c>
      <c r="I26" s="6"/>
      <c r="J26" t="s">
        <v>116</v>
      </c>
      <c r="K26" s="3">
        <f>IFERROR(IF(Tabela5[[#This Row],[Id Venda]]=B27,0,VLOOKUP(Tabela5[[#This Row],[Entrega]],cálculos!$B$2:$C$7,2,FALSE)),0)</f>
        <v>6.5</v>
      </c>
      <c r="L26" s="3">
        <f>Tabela5[[#This Row],[Subtotal]]*(1-Tabela5[[#This Row],[Desconto ]])+Tabela5[[#This Row],[Valor de Entrega]]</f>
        <v>8.49</v>
      </c>
      <c r="M26" s="3">
        <f>IF(Tabela5[[#This Row],[Id Venda]]=B27,"",SUMIF(Tabela5[Id Venda],Tabela5[[#This Row],[Id Venda]],Tabela5[Total]))</f>
        <v>8.49</v>
      </c>
    </row>
    <row r="27" spans="2:13" x14ac:dyDescent="0.3">
      <c r="B27">
        <v>1</v>
      </c>
      <c r="C27" s="17">
        <v>42187</v>
      </c>
      <c r="D27" t="s">
        <v>17</v>
      </c>
      <c r="E27" t="str">
        <f>IFERROR(VLOOKUP(Tabela5[[#This Row],[Produto]],cálculos!$H$3:$K$26,4,FALSE),"")</f>
        <v>Kg</v>
      </c>
      <c r="F27">
        <v>2</v>
      </c>
      <c r="G27" s="3">
        <f>IFERROR(VLOOKUP(Tabela5[[#This Row],[Produto]],cálculos!$H$3:$K$26,3,FALSE),0)</f>
        <v>2.4900000000000002</v>
      </c>
      <c r="H27" s="3">
        <f>Tabela5[[#This Row],[Preco Unitario]]*Tabela5[[#This Row],[Quantidade]]</f>
        <v>4.9800000000000004</v>
      </c>
      <c r="I27" s="6"/>
      <c r="J27" t="s">
        <v>115</v>
      </c>
      <c r="K27" s="3">
        <f>IFERROR(IF(Tabela5[[#This Row],[Id Venda]]=B28,0,VLOOKUP(Tabela5[[#This Row],[Entrega]],cálculos!$B$2:$C$7,2,FALSE)),0)</f>
        <v>0</v>
      </c>
      <c r="L27" s="3">
        <f>Tabela5[[#This Row],[Subtotal]]*(1-Tabela5[[#This Row],[Desconto ]])+Tabela5[[#This Row],[Valor de Entrega]]</f>
        <v>4.9800000000000004</v>
      </c>
      <c r="M27" s="3" t="str">
        <f>IF(Tabela5[[#This Row],[Id Venda]]=B28,"",SUMIF(Tabela5[Id Venda],Tabela5[[#This Row],[Id Venda]],Tabela5[Total]))</f>
        <v/>
      </c>
    </row>
    <row r="28" spans="2:13" x14ac:dyDescent="0.3">
      <c r="B28">
        <v>1</v>
      </c>
      <c r="C28" s="17">
        <v>42187</v>
      </c>
      <c r="D28" t="s">
        <v>29</v>
      </c>
      <c r="E28" t="str">
        <f>IFERROR(VLOOKUP(Tabela5[[#This Row],[Produto]],cálculos!$H$3:$K$26,4,FALSE),"")</f>
        <v>Pacote</v>
      </c>
      <c r="F28">
        <v>3</v>
      </c>
      <c r="G28" s="3">
        <f>IFERROR(VLOOKUP(Tabela5[[#This Row],[Produto]],cálculos!$H$3:$K$26,3,FALSE),0)</f>
        <v>1.1499999999999999</v>
      </c>
      <c r="H28" s="3">
        <f>Tabela5[[#This Row],[Preco Unitario]]*Tabela5[[#This Row],[Quantidade]]</f>
        <v>3.4499999999999997</v>
      </c>
      <c r="I28" s="6"/>
      <c r="J28" t="s">
        <v>115</v>
      </c>
      <c r="K28" s="3">
        <f>IFERROR(IF(Tabela5[[#This Row],[Id Venda]]=B29,0,VLOOKUP(Tabela5[[#This Row],[Entrega]],cálculos!$B$2:$C$7,2,FALSE)),0)</f>
        <v>0</v>
      </c>
      <c r="L28" s="3">
        <f>Tabela5[[#This Row],[Subtotal]]*(1-Tabela5[[#This Row],[Desconto ]])+Tabela5[[#This Row],[Valor de Entrega]]</f>
        <v>3.4499999999999997</v>
      </c>
      <c r="M28" s="3" t="str">
        <f>IF(Tabela5[[#This Row],[Id Venda]]=B29,"",SUMIF(Tabela5[Id Venda],Tabela5[[#This Row],[Id Venda]],Tabela5[Total]))</f>
        <v/>
      </c>
    </row>
    <row r="29" spans="2:13" x14ac:dyDescent="0.3">
      <c r="B29">
        <v>1</v>
      </c>
      <c r="C29" s="17">
        <v>42187</v>
      </c>
      <c r="D29" t="s">
        <v>34</v>
      </c>
      <c r="E29" t="str">
        <f>IFERROR(VLOOKUP(Tabela5[[#This Row],[Produto]],cálculos!$H$3:$K$26,4,FALSE),"")</f>
        <v>Pacote</v>
      </c>
      <c r="F29">
        <v>1</v>
      </c>
      <c r="G29" s="3">
        <f>IFERROR(VLOOKUP(Tabela5[[#This Row],[Produto]],cálculos!$H$3:$K$26,3,FALSE),0)</f>
        <v>1.99</v>
      </c>
      <c r="H29" s="3">
        <f>Tabela5[[#This Row],[Preco Unitario]]*Tabela5[[#This Row],[Quantidade]]</f>
        <v>1.99</v>
      </c>
      <c r="I29" s="6"/>
      <c r="J29" t="s">
        <v>115</v>
      </c>
      <c r="K29" s="3">
        <f>IFERROR(IF(Tabela5[[#This Row],[Id Venda]]=B30,0,VLOOKUP(Tabela5[[#This Row],[Entrega]],cálculos!$B$2:$C$7,2,FALSE)),0)</f>
        <v>0</v>
      </c>
      <c r="L29" s="3">
        <f>Tabela5[[#This Row],[Subtotal]]*(1-Tabela5[[#This Row],[Desconto ]])+Tabela5[[#This Row],[Valor de Entrega]]</f>
        <v>1.99</v>
      </c>
      <c r="M29" s="3">
        <f>IF(Tabela5[[#This Row],[Id Venda]]=B30,"",SUMIF(Tabela5[Id Venda],Tabela5[[#This Row],[Id Venda]],Tabela5[Total]))</f>
        <v>10.42</v>
      </c>
    </row>
    <row r="31" spans="2:13" ht="18" x14ac:dyDescent="0.35">
      <c r="B31" s="37" t="s">
        <v>119</v>
      </c>
      <c r="C31" s="37"/>
      <c r="D31" s="37"/>
      <c r="E31" s="38"/>
      <c r="F31" s="38"/>
      <c r="G31" s="38"/>
      <c r="H31" s="38"/>
      <c r="I31" s="38"/>
      <c r="J31" s="38"/>
      <c r="K31" s="38"/>
      <c r="L31" s="38"/>
      <c r="M31" s="39">
        <f>SUM(Tabela5[Total])</f>
        <v>670.52500000000009</v>
      </c>
    </row>
    <row r="32" spans="2:13" ht="18" x14ac:dyDescent="0.35">
      <c r="B32" s="40" t="s">
        <v>120</v>
      </c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2">
        <f>SUM(Tabela5[Valor de Entrega])</f>
        <v>40.5</v>
      </c>
    </row>
    <row r="33" spans="2:13" ht="18" x14ac:dyDescent="0.35">
      <c r="B33" s="15" t="s">
        <v>135</v>
      </c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43" cm="1">
        <f t="array" ref="M33">SUM(IF(FREQUENCY(Tabela5[Id Venda],Tabela5[Id Venda])&gt;0,1,0))</f>
        <v>13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87ED5-6917-4558-BC56-8FAA78BA1E66}">
  <dimension ref="A3:I8"/>
  <sheetViews>
    <sheetView showGridLines="0" workbookViewId="0">
      <selection activeCell="D11" sqref="D11"/>
    </sheetView>
  </sheetViews>
  <sheetFormatPr defaultRowHeight="14.4" x14ac:dyDescent="0.3"/>
  <cols>
    <col min="1" max="1" width="17.21875" bestFit="1" customWidth="1"/>
    <col min="2" max="2" width="18.88671875" bestFit="1" customWidth="1"/>
    <col min="3" max="3" width="13.109375" bestFit="1" customWidth="1"/>
    <col min="4" max="4" width="16.44140625" bestFit="1" customWidth="1"/>
    <col min="6" max="6" width="17.21875" bestFit="1" customWidth="1"/>
    <col min="7" max="7" width="18.88671875" bestFit="1" customWidth="1"/>
    <col min="8" max="8" width="23" bestFit="1" customWidth="1"/>
    <col min="9" max="9" width="13.109375" bestFit="1" customWidth="1"/>
  </cols>
  <sheetData>
    <row r="3" spans="1:9" x14ac:dyDescent="0.3">
      <c r="A3" s="61" t="s">
        <v>148</v>
      </c>
      <c r="B3" t="s">
        <v>150</v>
      </c>
      <c r="C3" t="s">
        <v>151</v>
      </c>
      <c r="F3" s="61" t="s">
        <v>148</v>
      </c>
      <c r="G3" t="s">
        <v>150</v>
      </c>
      <c r="H3" t="s">
        <v>152</v>
      </c>
      <c r="I3" t="s">
        <v>151</v>
      </c>
    </row>
    <row r="4" spans="1:9" x14ac:dyDescent="0.3">
      <c r="A4" s="62">
        <v>42187</v>
      </c>
      <c r="B4" s="59">
        <v>23</v>
      </c>
      <c r="C4" s="63">
        <v>74.25</v>
      </c>
      <c r="F4" s="64" t="s">
        <v>115</v>
      </c>
      <c r="G4" s="59">
        <v>79.5</v>
      </c>
      <c r="H4" s="63">
        <v>0</v>
      </c>
      <c r="I4" s="63">
        <v>326.39000000000004</v>
      </c>
    </row>
    <row r="5" spans="1:9" x14ac:dyDescent="0.3">
      <c r="A5" s="62">
        <v>42188</v>
      </c>
      <c r="B5" s="59">
        <v>72.5</v>
      </c>
      <c r="C5" s="63">
        <v>306.94000000000005</v>
      </c>
      <c r="F5" s="64" t="s">
        <v>116</v>
      </c>
      <c r="G5" s="59">
        <v>8</v>
      </c>
      <c r="H5" s="63">
        <v>13</v>
      </c>
      <c r="I5" s="63">
        <v>31.42</v>
      </c>
    </row>
    <row r="6" spans="1:9" x14ac:dyDescent="0.3">
      <c r="A6" s="62">
        <v>42189</v>
      </c>
      <c r="B6" s="59">
        <v>21</v>
      </c>
      <c r="C6" s="63">
        <v>59.33</v>
      </c>
      <c r="F6" s="64" t="s">
        <v>117</v>
      </c>
      <c r="G6" s="59">
        <v>6</v>
      </c>
      <c r="H6" s="63">
        <v>8</v>
      </c>
      <c r="I6" s="63">
        <v>16.939999999999998</v>
      </c>
    </row>
    <row r="7" spans="1:9" x14ac:dyDescent="0.3">
      <c r="A7" s="62">
        <v>42190</v>
      </c>
      <c r="B7" s="59">
        <v>45</v>
      </c>
      <c r="C7" s="63">
        <v>230.005</v>
      </c>
      <c r="F7" s="64" t="s">
        <v>118</v>
      </c>
      <c r="G7" s="59">
        <v>68</v>
      </c>
      <c r="H7" s="63">
        <v>19.5</v>
      </c>
      <c r="I7" s="63">
        <v>295.77500000000003</v>
      </c>
    </row>
    <row r="8" spans="1:9" x14ac:dyDescent="0.3">
      <c r="A8" s="62" t="s">
        <v>149</v>
      </c>
      <c r="B8" s="59">
        <v>161.5</v>
      </c>
      <c r="C8" s="63">
        <v>670.52500000000009</v>
      </c>
      <c r="F8" s="64" t="s">
        <v>149</v>
      </c>
      <c r="G8" s="59">
        <v>161.5</v>
      </c>
      <c r="H8" s="63">
        <v>40.5</v>
      </c>
      <c r="I8" s="63">
        <v>670.52500000000009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52774-81CF-43DD-BBFD-21FB73E73FAE}">
  <dimension ref="B2:M18"/>
  <sheetViews>
    <sheetView showGridLines="0" workbookViewId="0">
      <selection activeCell="C5" sqref="C5"/>
    </sheetView>
  </sheetViews>
  <sheetFormatPr defaultRowHeight="14.4" x14ac:dyDescent="0.3"/>
  <cols>
    <col min="2" max="2" width="10.88671875" customWidth="1"/>
    <col min="3" max="3" width="10.5546875" bestFit="1" customWidth="1"/>
    <col min="4" max="4" width="10.109375" bestFit="1" customWidth="1"/>
    <col min="5" max="5" width="9.6640625" bestFit="1" customWidth="1"/>
    <col min="6" max="6" width="13.109375" bestFit="1" customWidth="1"/>
    <col min="7" max="7" width="15.33203125" bestFit="1" customWidth="1"/>
    <col min="8" max="8" width="10.33203125" bestFit="1" customWidth="1"/>
    <col min="9" max="9" width="11.5546875" bestFit="1" customWidth="1"/>
    <col min="10" max="10" width="9.6640625" bestFit="1" customWidth="1"/>
    <col min="11" max="11" width="17.21875" bestFit="1" customWidth="1"/>
    <col min="12" max="12" width="12.6640625" customWidth="1"/>
    <col min="13" max="13" width="18" bestFit="1" customWidth="1"/>
  </cols>
  <sheetData>
    <row r="2" spans="2:13" s="14" customFormat="1" ht="21" x14ac:dyDescent="0.4">
      <c r="B2" s="13" t="s">
        <v>121</v>
      </c>
    </row>
    <row r="3" spans="2:13" ht="30" customHeight="1" x14ac:dyDescent="0.3"/>
    <row r="4" spans="2:13" x14ac:dyDescent="0.3">
      <c r="B4" t="s">
        <v>104</v>
      </c>
      <c r="C4" t="s">
        <v>42</v>
      </c>
      <c r="D4" t="s">
        <v>96</v>
      </c>
      <c r="E4" t="s">
        <v>55</v>
      </c>
      <c r="F4" t="s">
        <v>56</v>
      </c>
      <c r="G4" t="s">
        <v>105</v>
      </c>
      <c r="H4" t="s">
        <v>106</v>
      </c>
      <c r="I4" t="s">
        <v>107</v>
      </c>
      <c r="J4" t="s">
        <v>108</v>
      </c>
      <c r="K4" t="s">
        <v>109</v>
      </c>
      <c r="L4" t="s">
        <v>110</v>
      </c>
      <c r="M4" t="s">
        <v>111</v>
      </c>
    </row>
    <row r="5" spans="2:13" x14ac:dyDescent="0.3">
      <c r="B5">
        <v>2</v>
      </c>
      <c r="C5" s="9">
        <v>45081</v>
      </c>
      <c r="D5" t="s">
        <v>154</v>
      </c>
      <c r="E5" s="59" t="str">
        <f>IFERROR(VLOOKUP(Tabela57[[#This Row],[Produto]],cálculos!$H$3:$K$26,4,FALSE),"")</f>
        <v>Garrafa</v>
      </c>
      <c r="F5">
        <v>3</v>
      </c>
      <c r="G5" s="60">
        <f>IFERROR(VLOOKUP(Tabela57[[#This Row],[Produto]],cálculos!$H$3:$K$26,3,FALSE),0)</f>
        <v>54.9</v>
      </c>
      <c r="H5" s="60">
        <f>Tabela57[[#This Row],[Preco Unitario]]*Tabela57[[#This Row],[Quantidade]]</f>
        <v>164.7</v>
      </c>
      <c r="I5" s="6">
        <v>0.01</v>
      </c>
      <c r="J5" t="s">
        <v>117</v>
      </c>
      <c r="K5" s="60">
        <f>IFERROR(VLOOKUP(Tabela57[[#This Row],[Entrega]],cálculos!$B$2:$C$7,2,FALSE),0)</f>
        <v>8</v>
      </c>
      <c r="L5" s="60">
        <f>Tabela57[[#This Row],[Subtotal]]*(1-Tabela57[[#This Row],[Desconto ]])+Tabela57[[#This Row],[Valor de Entrega]]</f>
        <v>171.053</v>
      </c>
      <c r="M5" s="60">
        <f>IF(Tabela57[[#This Row],[Id Venda]]=B6,"",SUMIF(Tabela57[Id Venda],Tabela57[[#This Row],[Id Venda]],Tabela57[Total]))</f>
        <v>173.35300000000001</v>
      </c>
    </row>
    <row r="6" spans="2:13" x14ac:dyDescent="0.3">
      <c r="B6">
        <v>1</v>
      </c>
      <c r="C6" s="9">
        <v>45082</v>
      </c>
      <c r="D6" t="s">
        <v>29</v>
      </c>
      <c r="E6" t="str">
        <f>IFERROR(VLOOKUP(Tabela57[[#This Row],[Produto]],cálculos!$H$3:$K$26,4,FALSE),"")</f>
        <v>Pacote</v>
      </c>
      <c r="F6">
        <v>5</v>
      </c>
      <c r="G6" s="3">
        <f>IFERROR(VLOOKUP(Tabela57[[#This Row],[Produto]],cálculos!$H$3:$K$26,3,FALSE),0)</f>
        <v>1.1499999999999999</v>
      </c>
      <c r="H6" s="3">
        <f>Tabela57[[#This Row],[Preco Unitario]]*Tabela57[[#This Row],[Quantidade]]</f>
        <v>5.75</v>
      </c>
      <c r="I6" s="6">
        <v>0.02</v>
      </c>
      <c r="J6" t="s">
        <v>117</v>
      </c>
      <c r="K6" s="3">
        <f>IFERROR(VLOOKUP(Tabela57[[#This Row],[Entrega]],cálculos!$B$2:$C$7,2,FALSE),0)</f>
        <v>8</v>
      </c>
      <c r="L6" s="3">
        <f>Tabela57[[#This Row],[Subtotal]]*(1-Tabela57[[#This Row],[Desconto ]])+Tabela57[[#This Row],[Valor de Entrega]]</f>
        <v>13.635</v>
      </c>
      <c r="M6" s="3">
        <f>IF(Tabela57[[#This Row],[Id Venda]]=B7,"",SUMIF(Tabela57[Id Venda],Tabela57[[#This Row],[Id Venda]],Tabela57[Total]))</f>
        <v>13.635</v>
      </c>
    </row>
    <row r="7" spans="2:13" x14ac:dyDescent="0.3">
      <c r="B7">
        <v>3</v>
      </c>
      <c r="C7" s="9">
        <v>45082</v>
      </c>
      <c r="D7" t="s">
        <v>33</v>
      </c>
      <c r="E7" t="str">
        <f>IFERROR(VLOOKUP(Tabela57[[#This Row],[Produto]],cálculos!$H$3:$K$26,4,FALSE),"")</f>
        <v>Pacote</v>
      </c>
      <c r="F7">
        <v>3</v>
      </c>
      <c r="G7" s="3">
        <f>IFERROR(VLOOKUP(Tabela57[[#This Row],[Produto]],cálculos!$H$3:$K$26,3,FALSE),0)</f>
        <v>0.79</v>
      </c>
      <c r="H7" s="3">
        <f>Tabela57[[#This Row],[Preco Unitario]]*Tabela57[[#This Row],[Quantidade]]</f>
        <v>2.37</v>
      </c>
      <c r="I7" s="6"/>
      <c r="J7" t="s">
        <v>114</v>
      </c>
      <c r="K7" s="3">
        <f>IFERROR(VLOOKUP(Tabela57[[#This Row],[Entrega]],cálculos!$B$2:$C$7,2,FALSE),0)</f>
        <v>5</v>
      </c>
      <c r="L7" s="3">
        <f>Tabela57[[#This Row],[Subtotal]]*(1-Tabela57[[#This Row],[Desconto ]])+Tabela57[[#This Row],[Valor de Entrega]]</f>
        <v>7.37</v>
      </c>
      <c r="M7" s="3">
        <f>IF(Tabela57[[#This Row],[Id Venda]]=B8,"",SUMIF(Tabela57[Id Venda],Tabela57[[#This Row],[Id Venda]],Tabela57[Total]))</f>
        <v>7.37</v>
      </c>
    </row>
    <row r="8" spans="2:13" x14ac:dyDescent="0.3">
      <c r="B8">
        <v>2</v>
      </c>
      <c r="C8" s="9">
        <v>45082</v>
      </c>
      <c r="D8" t="s">
        <v>29</v>
      </c>
      <c r="E8" t="str">
        <f>IFERROR(VLOOKUP(Tabela57[[#This Row],[Produto]],cálculos!$H$3:$K$26,4,FALSE),"")</f>
        <v>Pacote</v>
      </c>
      <c r="F8">
        <v>2</v>
      </c>
      <c r="G8" s="3">
        <f>IFERROR(VLOOKUP(Tabela57[[#This Row],[Produto]],cálculos!$H$3:$K$26,3,FALSE),0)</f>
        <v>1.1499999999999999</v>
      </c>
      <c r="H8" s="3">
        <f>Tabela57[[#This Row],[Preco Unitario]]*Tabela57[[#This Row],[Quantidade]]</f>
        <v>2.2999999999999998</v>
      </c>
      <c r="I8" s="6"/>
      <c r="J8" t="s">
        <v>115</v>
      </c>
      <c r="K8" s="3">
        <f>IFERROR(VLOOKUP(Tabela57[[#This Row],[Entrega]],cálculos!$B$2:$C$7,2,FALSE),0)</f>
        <v>0</v>
      </c>
      <c r="L8" s="3">
        <f>Tabela57[[#This Row],[Subtotal]]*(1-Tabela57[[#This Row],[Desconto ]])+Tabela57[[#This Row],[Valor de Entrega]]</f>
        <v>2.2999999999999998</v>
      </c>
      <c r="M8" s="3">
        <f>IF(Tabela57[[#This Row],[Id Venda]]=B9,"",SUMIF(Tabela57[Id Venda],Tabela57[[#This Row],[Id Venda]],Tabela57[Total]))</f>
        <v>173.35300000000001</v>
      </c>
    </row>
    <row r="9" spans="2:13" x14ac:dyDescent="0.3">
      <c r="E9" t="str">
        <f>IFERROR(VLOOKUP(Tabela57[[#This Row],[Produto]],cálculos!$H$3:$K$26,4,FALSE),"")</f>
        <v/>
      </c>
      <c r="G9" s="3">
        <f>IFERROR(VLOOKUP(Tabela57[[#This Row],[Produto]],cálculos!$H$3:$K$26,3,FALSE),0)</f>
        <v>0</v>
      </c>
      <c r="H9" s="3">
        <f>Tabela57[[#This Row],[Preco Unitario]]*Tabela57[[#This Row],[Quantidade]]</f>
        <v>0</v>
      </c>
      <c r="I9" s="6"/>
      <c r="K9" s="3">
        <f>IFERROR(VLOOKUP(Tabela57[[#This Row],[Entrega]],cálculos!$B$2:$C$7,2,FALSE),0)</f>
        <v>0</v>
      </c>
      <c r="L9" s="3">
        <f>Tabela57[[#This Row],[Subtotal]]*(1-Tabela57[[#This Row],[Desconto ]])+Tabela57[[#This Row],[Valor de Entrega]]</f>
        <v>0</v>
      </c>
      <c r="M9" s="3" t="str">
        <f>IF(Tabela57[[#This Row],[Id Venda]]=B10,"",SUMIF(Tabela57[Id Venda],Tabela57[[#This Row],[Id Venda]],Tabela57[Total]))</f>
        <v/>
      </c>
    </row>
    <row r="10" spans="2:13" x14ac:dyDescent="0.3">
      <c r="E10" t="str">
        <f>IFERROR(VLOOKUP(Tabela57[[#This Row],[Produto]],cálculos!$H$3:$K$26,4,FALSE),"")</f>
        <v/>
      </c>
      <c r="G10" s="3">
        <f>IFERROR(VLOOKUP(Tabela57[[#This Row],[Produto]],cálculos!$H$3:$K$26,3,FALSE),0)</f>
        <v>0</v>
      </c>
      <c r="H10" s="3">
        <f>Tabela57[[#This Row],[Preco Unitario]]*Tabela57[[#This Row],[Quantidade]]</f>
        <v>0</v>
      </c>
      <c r="I10" s="6"/>
      <c r="K10" s="3">
        <f>IFERROR(VLOOKUP(Tabela57[[#This Row],[Entrega]],cálculos!$B$2:$C$7,2,FALSE),0)</f>
        <v>0</v>
      </c>
      <c r="L10" s="3">
        <f>Tabela57[[#This Row],[Subtotal]]*(1-Tabela57[[#This Row],[Desconto ]])+Tabela57[[#This Row],[Valor de Entrega]]</f>
        <v>0</v>
      </c>
      <c r="M10" s="3" t="str">
        <f>IF(Tabela57[[#This Row],[Id Venda]]=B11,"",SUMIF(Tabela57[Id Venda],Tabela57[[#This Row],[Id Venda]],Tabela57[Total]))</f>
        <v/>
      </c>
    </row>
    <row r="11" spans="2:13" x14ac:dyDescent="0.3">
      <c r="E11" t="str">
        <f>IFERROR(VLOOKUP(Tabela57[[#This Row],[Produto]],cálculos!$H$3:$K$26,4,FALSE),"")</f>
        <v/>
      </c>
      <c r="G11" s="3">
        <f>IFERROR(VLOOKUP(Tabela57[[#This Row],[Produto]],cálculos!$H$3:$K$26,3,FALSE),0)</f>
        <v>0</v>
      </c>
      <c r="H11" s="3">
        <f>Tabela57[[#This Row],[Preco Unitario]]*Tabela57[[#This Row],[Quantidade]]</f>
        <v>0</v>
      </c>
      <c r="I11" s="6"/>
      <c r="K11" s="3">
        <f>IFERROR(VLOOKUP(Tabela57[[#This Row],[Entrega]],cálculos!$B$2:$C$7,2,FALSE),0)</f>
        <v>0</v>
      </c>
      <c r="L11" s="3">
        <f>Tabela57[[#This Row],[Subtotal]]*(1-Tabela57[[#This Row],[Desconto ]])+Tabela57[[#This Row],[Valor de Entrega]]</f>
        <v>0</v>
      </c>
      <c r="M11" s="3" t="str">
        <f>IF(Tabela57[[#This Row],[Id Venda]]=B12,"",SUMIF(Tabela57[Id Venda],Tabela57[[#This Row],[Id Venda]],Tabela57[Total]))</f>
        <v/>
      </c>
    </row>
    <row r="12" spans="2:13" x14ac:dyDescent="0.3">
      <c r="E12" t="str">
        <f>IFERROR(VLOOKUP(Tabela57[[#This Row],[Produto]],cálculos!$H$3:$K$26,4,FALSE),"")</f>
        <v/>
      </c>
      <c r="G12" s="3">
        <f>IFERROR(VLOOKUP(Tabela57[[#This Row],[Produto]],cálculos!$H$3:$K$26,3,FALSE),0)</f>
        <v>0</v>
      </c>
      <c r="H12" s="3">
        <f>Tabela57[[#This Row],[Preco Unitario]]*Tabela57[[#This Row],[Quantidade]]</f>
        <v>0</v>
      </c>
      <c r="I12" s="6"/>
      <c r="K12" s="3">
        <f>IFERROR(VLOOKUP(Tabela57[[#This Row],[Entrega]],cálculos!$B$2:$C$7,2,FALSE),0)</f>
        <v>0</v>
      </c>
      <c r="L12" s="3">
        <f>Tabela57[[#This Row],[Subtotal]]*(1-Tabela57[[#This Row],[Desconto ]])+Tabela57[[#This Row],[Valor de Entrega]]</f>
        <v>0</v>
      </c>
      <c r="M12" s="3" t="str">
        <f>IF(Tabela57[[#This Row],[Id Venda]]=B13,"",SUMIF(Tabela57[Id Venda],Tabela57[[#This Row],[Id Venda]],Tabela57[Total]))</f>
        <v/>
      </c>
    </row>
    <row r="13" spans="2:13" x14ac:dyDescent="0.3">
      <c r="E13" t="str">
        <f>IFERROR(VLOOKUP(Tabela57[[#This Row],[Produto]],cálculos!$H$3:$K$26,4,FALSE),"")</f>
        <v/>
      </c>
      <c r="G13" s="3">
        <f>IFERROR(VLOOKUP(Tabela57[[#This Row],[Produto]],cálculos!$H$3:$K$26,3,FALSE),0)</f>
        <v>0</v>
      </c>
      <c r="H13" s="3">
        <f>Tabela57[[#This Row],[Preco Unitario]]*Tabela57[[#This Row],[Quantidade]]</f>
        <v>0</v>
      </c>
      <c r="I13" s="6"/>
      <c r="K13" s="3">
        <f>IFERROR(VLOOKUP(Tabela57[[#This Row],[Entrega]],cálculos!$B$2:$C$7,2,FALSE),0)</f>
        <v>0</v>
      </c>
      <c r="L13" s="3">
        <f>Tabela57[[#This Row],[Subtotal]]*(1-Tabela57[[#This Row],[Desconto ]])+Tabela57[[#This Row],[Valor de Entrega]]</f>
        <v>0</v>
      </c>
      <c r="M13" s="3" t="str">
        <f>IF(Tabela57[[#This Row],[Id Venda]]=B14,"",SUMIF(Tabela57[Id Venda],Tabela57[[#This Row],[Id Venda]],Tabela57[Total]))</f>
        <v/>
      </c>
    </row>
    <row r="14" spans="2:13" x14ac:dyDescent="0.3">
      <c r="E14" t="str">
        <f>IFERROR(VLOOKUP(Tabela57[[#This Row],[Produto]],cálculos!$H$3:$K$26,4,FALSE),"")</f>
        <v/>
      </c>
      <c r="G14" s="3">
        <f>IFERROR(VLOOKUP(Tabela57[[#This Row],[Produto]],cálculos!$H$3:$K$26,3,FALSE),0)</f>
        <v>0</v>
      </c>
      <c r="H14" s="3">
        <f>Tabela57[[#This Row],[Preco Unitario]]*Tabela57[[#This Row],[Quantidade]]</f>
        <v>0</v>
      </c>
      <c r="I14" s="6"/>
      <c r="K14" s="3">
        <f>IFERROR(VLOOKUP(Tabela57[[#This Row],[Entrega]],cálculos!$B$2:$C$7,2,FALSE),0)</f>
        <v>0</v>
      </c>
      <c r="L14" s="3">
        <f>Tabela57[[#This Row],[Subtotal]]*(1-Tabela57[[#This Row],[Desconto ]])+Tabela57[[#This Row],[Valor de Entrega]]</f>
        <v>0</v>
      </c>
      <c r="M14" s="3" t="str">
        <f>IF(Tabela57[[#This Row],[Id Venda]]=B15,"",SUMIF(Tabela57[Id Venda],Tabela57[[#This Row],[Id Venda]],Tabela57[Total]))</f>
        <v/>
      </c>
    </row>
    <row r="16" spans="2:13" ht="18" x14ac:dyDescent="0.35">
      <c r="B16" s="37" t="s">
        <v>119</v>
      </c>
      <c r="C16" s="37"/>
      <c r="D16" s="37"/>
      <c r="E16" s="38"/>
      <c r="F16" s="38"/>
      <c r="G16" s="38"/>
      <c r="H16" s="38"/>
      <c r="I16" s="38"/>
      <c r="J16" s="38"/>
      <c r="K16" s="38"/>
      <c r="L16" s="38"/>
      <c r="M16" s="39">
        <f>SUM(Tabela57[Total])</f>
        <v>194.358</v>
      </c>
    </row>
    <row r="17" spans="2:13" ht="18" x14ac:dyDescent="0.35">
      <c r="B17" s="40" t="s">
        <v>120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2">
        <f>SUM(Tabela57[Valor de Entrega])</f>
        <v>21</v>
      </c>
    </row>
    <row r="18" spans="2:13" ht="18" x14ac:dyDescent="0.35">
      <c r="B18" s="15" t="s">
        <v>135</v>
      </c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43" cm="1">
        <f t="array" ref="M18">SUM(IF(FREQUENCY(Tabela57[Id Venda],Tabela57[Id Venda])&gt;0,1,0))</f>
        <v>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7FB4BFA-5212-4DC2-A874-8546F3EC84E0}">
          <x14:formula1>
            <xm:f>cálculos!$B$3:$B$7</xm:f>
          </x14:formula1>
          <xm:sqref>J5:J14</xm:sqref>
        </x14:dataValidation>
        <x14:dataValidation type="list" allowBlank="1" showInputMessage="1" showErrorMessage="1" xr:uid="{83A90F5B-FA0C-46BB-854A-0722C854CA13}">
          <x14:formula1>
            <xm:f>cálculos!$H$3:$H$26</xm:f>
          </x14:formula1>
          <xm:sqref>D5:D14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5E1B5-D4A9-4A1F-87BD-BA2F79FC9D7F}">
  <dimension ref="A3:I8"/>
  <sheetViews>
    <sheetView showGridLines="0" workbookViewId="0">
      <selection activeCell="B5" sqref="B5"/>
    </sheetView>
  </sheetViews>
  <sheetFormatPr defaultRowHeight="14.4" x14ac:dyDescent="0.3"/>
  <cols>
    <col min="1" max="1" width="17.21875" bestFit="1" customWidth="1"/>
    <col min="2" max="2" width="18.88671875" bestFit="1" customWidth="1"/>
    <col min="3" max="3" width="13.109375" bestFit="1" customWidth="1"/>
    <col min="4" max="4" width="16.44140625" bestFit="1" customWidth="1"/>
    <col min="6" max="6" width="17.21875" bestFit="1" customWidth="1"/>
    <col min="7" max="7" width="18.88671875" bestFit="1" customWidth="1"/>
    <col min="8" max="8" width="23" bestFit="1" customWidth="1"/>
    <col min="9" max="9" width="13.109375" bestFit="1" customWidth="1"/>
  </cols>
  <sheetData>
    <row r="3" spans="1:9" x14ac:dyDescent="0.3">
      <c r="A3" s="61" t="s">
        <v>148</v>
      </c>
      <c r="B3" t="s">
        <v>150</v>
      </c>
      <c r="C3" t="s">
        <v>151</v>
      </c>
      <c r="F3" s="61" t="s">
        <v>148</v>
      </c>
      <c r="G3" t="s">
        <v>150</v>
      </c>
      <c r="H3" t="s">
        <v>152</v>
      </c>
      <c r="I3" t="s">
        <v>151</v>
      </c>
    </row>
    <row r="4" spans="1:9" x14ac:dyDescent="0.3">
      <c r="A4" s="62">
        <v>45082</v>
      </c>
      <c r="B4" s="59">
        <v>10</v>
      </c>
      <c r="C4" s="63">
        <v>23.305</v>
      </c>
      <c r="F4" s="64" t="s">
        <v>115</v>
      </c>
      <c r="G4" s="59">
        <v>2</v>
      </c>
      <c r="H4" s="63">
        <v>0</v>
      </c>
      <c r="I4" s="63">
        <v>2.2999999999999998</v>
      </c>
    </row>
    <row r="5" spans="1:9" x14ac:dyDescent="0.3">
      <c r="A5" s="62" t="s">
        <v>153</v>
      </c>
      <c r="B5" s="59"/>
      <c r="C5" s="63">
        <v>0</v>
      </c>
      <c r="F5" s="64" t="s">
        <v>117</v>
      </c>
      <c r="G5" s="59">
        <v>8</v>
      </c>
      <c r="H5" s="63">
        <v>16</v>
      </c>
      <c r="I5" s="63">
        <v>184.68799999999999</v>
      </c>
    </row>
    <row r="6" spans="1:9" x14ac:dyDescent="0.3">
      <c r="A6" s="62">
        <v>45081</v>
      </c>
      <c r="B6" s="59">
        <v>3</v>
      </c>
      <c r="C6" s="63">
        <v>171.053</v>
      </c>
      <c r="F6" s="64" t="s">
        <v>114</v>
      </c>
      <c r="G6" s="59">
        <v>3</v>
      </c>
      <c r="H6" s="63">
        <v>5</v>
      </c>
      <c r="I6" s="63">
        <v>7.37</v>
      </c>
    </row>
    <row r="7" spans="1:9" x14ac:dyDescent="0.3">
      <c r="A7" s="62" t="s">
        <v>149</v>
      </c>
      <c r="B7" s="59">
        <v>13</v>
      </c>
      <c r="C7" s="63">
        <v>194.358</v>
      </c>
      <c r="F7" s="64" t="s">
        <v>153</v>
      </c>
      <c r="G7" s="59"/>
      <c r="H7" s="63">
        <v>0</v>
      </c>
      <c r="I7" s="63">
        <v>0</v>
      </c>
    </row>
    <row r="8" spans="1:9" x14ac:dyDescent="0.3">
      <c r="F8" s="64" t="s">
        <v>149</v>
      </c>
      <c r="G8" s="59">
        <v>13</v>
      </c>
      <c r="H8" s="63">
        <v>21</v>
      </c>
      <c r="I8" s="63">
        <v>194.358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D2ECF-A7BB-4538-B0EA-4ACD41F0A81D}">
  <dimension ref="B2:M17"/>
  <sheetViews>
    <sheetView showGridLines="0" workbookViewId="0">
      <selection activeCell="I13" sqref="I13"/>
    </sheetView>
  </sheetViews>
  <sheetFormatPr defaultRowHeight="14.4" x14ac:dyDescent="0.3"/>
  <cols>
    <col min="2" max="2" width="10.77734375" customWidth="1"/>
    <col min="3" max="3" width="10.5546875" bestFit="1" customWidth="1"/>
    <col min="4" max="4" width="10.109375" bestFit="1" customWidth="1"/>
    <col min="5" max="5" width="9.6640625" bestFit="1" customWidth="1"/>
    <col min="6" max="6" width="13.109375" bestFit="1" customWidth="1"/>
    <col min="7" max="7" width="15.33203125" bestFit="1" customWidth="1"/>
    <col min="8" max="8" width="10.33203125" bestFit="1" customWidth="1"/>
    <col min="9" max="9" width="11.5546875" bestFit="1" customWidth="1"/>
    <col min="10" max="10" width="9.6640625" bestFit="1" customWidth="1"/>
    <col min="11" max="11" width="17.21875" bestFit="1" customWidth="1"/>
    <col min="12" max="12" width="12.6640625" customWidth="1"/>
    <col min="13" max="13" width="18" bestFit="1" customWidth="1"/>
  </cols>
  <sheetData>
    <row r="2" spans="2:13" s="14" customFormat="1" ht="21" x14ac:dyDescent="0.4">
      <c r="B2" s="13" t="s">
        <v>122</v>
      </c>
    </row>
    <row r="3" spans="2:13" ht="30" customHeight="1" x14ac:dyDescent="0.3"/>
    <row r="4" spans="2:13" x14ac:dyDescent="0.3">
      <c r="B4" t="s">
        <v>104</v>
      </c>
      <c r="C4" t="s">
        <v>42</v>
      </c>
      <c r="D4" t="s">
        <v>96</v>
      </c>
      <c r="E4" t="s">
        <v>55</v>
      </c>
      <c r="F4" t="s">
        <v>56</v>
      </c>
      <c r="G4" t="s">
        <v>105</v>
      </c>
      <c r="H4" t="s">
        <v>106</v>
      </c>
      <c r="I4" t="s">
        <v>107</v>
      </c>
      <c r="J4" t="s">
        <v>108</v>
      </c>
      <c r="K4" t="s">
        <v>109</v>
      </c>
      <c r="L4" t="s">
        <v>110</v>
      </c>
      <c r="M4" t="s">
        <v>111</v>
      </c>
    </row>
    <row r="5" spans="2:13" x14ac:dyDescent="0.3">
      <c r="C5" s="9"/>
      <c r="E5" t="str">
        <f>IFERROR(VLOOKUP(Tabela58[[#This Row],[Produto]],cálculos!$H$3:$K$26,4,FALSE),"")</f>
        <v/>
      </c>
      <c r="G5" s="3">
        <f>IFERROR(VLOOKUP(Tabela58[[#This Row],[Produto]],cálculos!$H$3:$K$26,3,FALSE),0)</f>
        <v>0</v>
      </c>
      <c r="H5" s="3">
        <f>Tabela58[[#This Row],[Preco Unitario]]*Tabela58[[#This Row],[Quantidade]]</f>
        <v>0</v>
      </c>
      <c r="I5" s="6"/>
      <c r="K5" s="3">
        <f>IFERROR(VLOOKUP(Tabela58[[#This Row],[Entrega]],cálculos!$B$2:$C$7,2,FALSE),0)</f>
        <v>0</v>
      </c>
      <c r="L5" s="3">
        <f>Tabela58[[#This Row],[Subtotal]]*(1-Tabela58[[#This Row],[Desconto ]])+Tabela58[[#This Row],[Valor de Entrega]]</f>
        <v>0</v>
      </c>
      <c r="M5" s="3" t="str">
        <f>IF(Tabela58[[#This Row],[Id Venda]]=B6,"",SUMIF(Tabela58[Id Venda],Tabela58[[#This Row],[Id Venda]],Tabela58[Total]))</f>
        <v/>
      </c>
    </row>
    <row r="6" spans="2:13" x14ac:dyDescent="0.3">
      <c r="C6" s="9"/>
      <c r="E6" t="str">
        <f>IFERROR(VLOOKUP(Tabela58[[#This Row],[Produto]],cálculos!$H$3:$K$26,4,FALSE),"")</f>
        <v/>
      </c>
      <c r="G6" s="3">
        <f>IFERROR(VLOOKUP(Tabela58[[#This Row],[Produto]],cálculos!$H$3:$K$26,3,FALSE),0)</f>
        <v>0</v>
      </c>
      <c r="H6" s="3">
        <f>Tabela58[[#This Row],[Preco Unitario]]*Tabela58[[#This Row],[Quantidade]]</f>
        <v>0</v>
      </c>
      <c r="I6" s="6"/>
      <c r="K6" s="3">
        <f>IFERROR(VLOOKUP(Tabela58[[#This Row],[Entrega]],cálculos!$B$2:$C$7,2,FALSE),0)</f>
        <v>0</v>
      </c>
      <c r="L6" s="3">
        <f>Tabela58[[#This Row],[Subtotal]]*(1-Tabela58[[#This Row],[Desconto ]])+Tabela58[[#This Row],[Valor de Entrega]]</f>
        <v>0</v>
      </c>
      <c r="M6" s="3" t="str">
        <f>IF(Tabela58[[#This Row],[Id Venda]]=B7,"",SUMIF(Tabela58[Id Venda],Tabela58[[#This Row],[Id Venda]],Tabela58[Total]))</f>
        <v/>
      </c>
    </row>
    <row r="7" spans="2:13" x14ac:dyDescent="0.3">
      <c r="E7" t="str">
        <f>IFERROR(VLOOKUP(Tabela58[[#This Row],[Produto]],cálculos!$H$3:$K$26,4,FALSE),"")</f>
        <v/>
      </c>
      <c r="G7" s="3">
        <f>IFERROR(VLOOKUP(Tabela58[[#This Row],[Produto]],cálculos!$H$3:$K$26,3,FALSE),0)</f>
        <v>0</v>
      </c>
      <c r="H7" s="3">
        <f>Tabela58[[#This Row],[Preco Unitario]]*Tabela58[[#This Row],[Quantidade]]</f>
        <v>0</v>
      </c>
      <c r="I7" s="6"/>
      <c r="K7" s="3">
        <f>IFERROR(VLOOKUP(Tabela58[[#This Row],[Entrega]],cálculos!$B$2:$C$7,2,FALSE),0)</f>
        <v>0</v>
      </c>
      <c r="L7" s="3">
        <f>Tabela58[[#This Row],[Subtotal]]*(1-Tabela58[[#This Row],[Desconto ]])+Tabela58[[#This Row],[Valor de Entrega]]</f>
        <v>0</v>
      </c>
      <c r="M7" s="3" t="str">
        <f>IF(Tabela58[[#This Row],[Id Venda]]=B8,"",SUMIF(Tabela58[Id Venda],Tabela58[[#This Row],[Id Venda]],Tabela58[Total]))</f>
        <v/>
      </c>
    </row>
    <row r="8" spans="2:13" x14ac:dyDescent="0.3">
      <c r="E8" t="str">
        <f>IFERROR(VLOOKUP(Tabela58[[#This Row],[Produto]],cálculos!$H$3:$K$26,4,FALSE),"")</f>
        <v/>
      </c>
      <c r="G8" s="3">
        <f>IFERROR(VLOOKUP(Tabela58[[#This Row],[Produto]],cálculos!$H$3:$K$26,3,FALSE),0)</f>
        <v>0</v>
      </c>
      <c r="H8" s="3">
        <f>Tabela58[[#This Row],[Preco Unitario]]*Tabela58[[#This Row],[Quantidade]]</f>
        <v>0</v>
      </c>
      <c r="I8" s="6"/>
      <c r="K8" s="3">
        <f>IFERROR(VLOOKUP(Tabela58[[#This Row],[Entrega]],cálculos!$B$2:$C$7,2,FALSE),0)</f>
        <v>0</v>
      </c>
      <c r="L8" s="3">
        <f>Tabela58[[#This Row],[Subtotal]]*(1-Tabela58[[#This Row],[Desconto ]])+Tabela58[[#This Row],[Valor de Entrega]]</f>
        <v>0</v>
      </c>
      <c r="M8" s="3" t="str">
        <f>IF(Tabela58[[#This Row],[Id Venda]]=B9,"",SUMIF(Tabela58[Id Venda],Tabela58[[#This Row],[Id Venda]],Tabela58[Total]))</f>
        <v/>
      </c>
    </row>
    <row r="9" spans="2:13" x14ac:dyDescent="0.3">
      <c r="E9" t="str">
        <f>IFERROR(VLOOKUP(Tabela58[[#This Row],[Produto]],cálculos!$H$3:$K$26,4,FALSE),"")</f>
        <v/>
      </c>
      <c r="G9" s="3">
        <f>IFERROR(VLOOKUP(Tabela58[[#This Row],[Produto]],cálculos!$H$3:$K$26,3,FALSE),0)</f>
        <v>0</v>
      </c>
      <c r="H9" s="3">
        <f>Tabela58[[#This Row],[Preco Unitario]]*Tabela58[[#This Row],[Quantidade]]</f>
        <v>0</v>
      </c>
      <c r="I9" s="6"/>
      <c r="K9" s="3">
        <f>IFERROR(VLOOKUP(Tabela58[[#This Row],[Entrega]],cálculos!$B$2:$C$7,2,FALSE),0)</f>
        <v>0</v>
      </c>
      <c r="L9" s="3">
        <f>Tabela58[[#This Row],[Subtotal]]*(1-Tabela58[[#This Row],[Desconto ]])+Tabela58[[#This Row],[Valor de Entrega]]</f>
        <v>0</v>
      </c>
      <c r="M9" s="3" t="str">
        <f>IF(Tabela58[[#This Row],[Id Venda]]=B10,"",SUMIF(Tabela58[Id Venda],Tabela58[[#This Row],[Id Venda]],Tabela58[Total]))</f>
        <v/>
      </c>
    </row>
    <row r="10" spans="2:13" x14ac:dyDescent="0.3">
      <c r="E10" t="str">
        <f>IFERROR(VLOOKUP(Tabela58[[#This Row],[Produto]],cálculos!$H$3:$K$26,4,FALSE),"")</f>
        <v/>
      </c>
      <c r="G10" s="3">
        <f>IFERROR(VLOOKUP(Tabela58[[#This Row],[Produto]],cálculos!$H$3:$K$26,3,FALSE),0)</f>
        <v>0</v>
      </c>
      <c r="H10" s="3">
        <f>Tabela58[[#This Row],[Preco Unitario]]*Tabela58[[#This Row],[Quantidade]]</f>
        <v>0</v>
      </c>
      <c r="I10" s="6"/>
      <c r="K10" s="3">
        <f>IFERROR(VLOOKUP(Tabela58[[#This Row],[Entrega]],cálculos!$B$2:$C$7,2,FALSE),0)</f>
        <v>0</v>
      </c>
      <c r="L10" s="3">
        <f>Tabela58[[#This Row],[Subtotal]]*(1-Tabela58[[#This Row],[Desconto ]])+Tabela58[[#This Row],[Valor de Entrega]]</f>
        <v>0</v>
      </c>
      <c r="M10" s="3" t="str">
        <f>IF(Tabela58[[#This Row],[Id Venda]]=B11,"",SUMIF(Tabela58[Id Venda],Tabela58[[#This Row],[Id Venda]],Tabela58[Total]))</f>
        <v/>
      </c>
    </row>
    <row r="11" spans="2:13" x14ac:dyDescent="0.3">
      <c r="E11" t="str">
        <f>IFERROR(VLOOKUP(Tabela58[[#This Row],[Produto]],cálculos!$H$3:$K$26,4,FALSE),"")</f>
        <v/>
      </c>
      <c r="G11" s="3">
        <f>IFERROR(VLOOKUP(Tabela58[[#This Row],[Produto]],cálculos!$H$3:$K$26,3,FALSE),0)</f>
        <v>0</v>
      </c>
      <c r="H11" s="3">
        <f>Tabela58[[#This Row],[Preco Unitario]]*Tabela58[[#This Row],[Quantidade]]</f>
        <v>0</v>
      </c>
      <c r="I11" s="6"/>
      <c r="K11" s="3">
        <f>IFERROR(VLOOKUP(Tabela58[[#This Row],[Entrega]],cálculos!$B$2:$C$7,2,FALSE),0)</f>
        <v>0</v>
      </c>
      <c r="L11" s="3">
        <f>Tabela58[[#This Row],[Subtotal]]*(1-Tabela58[[#This Row],[Desconto ]])+Tabela58[[#This Row],[Valor de Entrega]]</f>
        <v>0</v>
      </c>
      <c r="M11" s="3" t="str">
        <f>IF(Tabela58[[#This Row],[Id Venda]]=B12,"",SUMIF(Tabela58[Id Venda],Tabela58[[#This Row],[Id Venda]],Tabela58[Total]))</f>
        <v/>
      </c>
    </row>
    <row r="12" spans="2:13" x14ac:dyDescent="0.3">
      <c r="E12" t="str">
        <f>IFERROR(VLOOKUP(Tabela58[[#This Row],[Produto]],cálculos!$H$3:$K$26,4,FALSE),"")</f>
        <v/>
      </c>
      <c r="G12" s="3">
        <f>IFERROR(VLOOKUP(Tabela58[[#This Row],[Produto]],cálculos!$H$3:$K$26,3,FALSE),0)</f>
        <v>0</v>
      </c>
      <c r="H12" s="3">
        <f>Tabela58[[#This Row],[Preco Unitario]]*Tabela58[[#This Row],[Quantidade]]</f>
        <v>0</v>
      </c>
      <c r="I12" s="6"/>
      <c r="K12" s="3">
        <f>IFERROR(VLOOKUP(Tabela58[[#This Row],[Entrega]],cálculos!$B$2:$C$7,2,FALSE),0)</f>
        <v>0</v>
      </c>
      <c r="L12" s="3">
        <f>Tabela58[[#This Row],[Subtotal]]*(1-Tabela58[[#This Row],[Desconto ]])+Tabela58[[#This Row],[Valor de Entrega]]</f>
        <v>0</v>
      </c>
      <c r="M12" s="3" t="str">
        <f>IF(Tabela58[[#This Row],[Id Venda]]=B13,"",SUMIF(Tabela58[Id Venda],Tabela58[[#This Row],[Id Venda]],Tabela58[Total]))</f>
        <v/>
      </c>
    </row>
    <row r="13" spans="2:13" x14ac:dyDescent="0.3">
      <c r="E13" t="str">
        <f>IFERROR(VLOOKUP(Tabela58[[#This Row],[Produto]],cálculos!$H$3:$K$26,4,FALSE),"")</f>
        <v/>
      </c>
      <c r="G13" s="3">
        <f>IFERROR(VLOOKUP(Tabela58[[#This Row],[Produto]],cálculos!$H$3:$K$26,3,FALSE),0)</f>
        <v>0</v>
      </c>
      <c r="H13" s="3">
        <f>Tabela58[[#This Row],[Preco Unitario]]*Tabela58[[#This Row],[Quantidade]]</f>
        <v>0</v>
      </c>
      <c r="I13" s="6"/>
      <c r="K13" s="3">
        <f>IFERROR(VLOOKUP(Tabela58[[#This Row],[Entrega]],cálculos!$B$2:$C$7,2,FALSE),0)</f>
        <v>0</v>
      </c>
      <c r="L13" s="3">
        <f>Tabela58[[#This Row],[Subtotal]]*(1-Tabela58[[#This Row],[Desconto ]])+Tabela58[[#This Row],[Valor de Entrega]]</f>
        <v>0</v>
      </c>
      <c r="M13" s="3" t="str">
        <f>IF(Tabela58[[#This Row],[Id Venda]]=B14,"",SUMIF(Tabela58[Id Venda],Tabela58[[#This Row],[Id Venda]],Tabela58[Total]))</f>
        <v/>
      </c>
    </row>
    <row r="15" spans="2:13" ht="18" x14ac:dyDescent="0.35">
      <c r="B15" s="37" t="s">
        <v>119</v>
      </c>
      <c r="C15" s="37"/>
      <c r="D15" s="37"/>
      <c r="E15" s="38"/>
      <c r="F15" s="38"/>
      <c r="G15" s="38"/>
      <c r="H15" s="38"/>
      <c r="I15" s="38"/>
      <c r="J15" s="38"/>
      <c r="K15" s="38"/>
      <c r="L15" s="38"/>
      <c r="M15" s="39">
        <f>SUM(Tabela58[Total])</f>
        <v>0</v>
      </c>
    </row>
    <row r="16" spans="2:13" ht="18" x14ac:dyDescent="0.35">
      <c r="B16" s="40" t="s">
        <v>120</v>
      </c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2">
        <f>SUM(Tabela58[Valor de Entrega])</f>
        <v>0</v>
      </c>
    </row>
    <row r="17" spans="2:13" ht="18" x14ac:dyDescent="0.35">
      <c r="B17" s="15" t="s">
        <v>135</v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43" cm="1">
        <f t="array" ref="M17">SUM(IF(FREQUENCY(Tabela58[Id Venda],Tabela58[Id Venda])&gt;0,1,0))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4A16CFD-684A-4D1A-81D6-2CB3A8146306}">
          <x14:formula1>
            <xm:f>cálculos!$B$3:$B$7</xm:f>
          </x14:formula1>
          <xm:sqref>J5:J13</xm:sqref>
        </x14:dataValidation>
        <x14:dataValidation type="list" allowBlank="1" showInputMessage="1" showErrorMessage="1" xr:uid="{CF20DC88-2895-4966-92B1-EA5EC375DBE1}">
          <x14:formula1>
            <xm:f>cálculos!$H$3:$H$26</xm:f>
          </x14:formula1>
          <xm:sqref>D5:D13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032EF-8EA6-4A99-B66B-296F812DF2C8}">
  <dimension ref="A3:I5"/>
  <sheetViews>
    <sheetView showGridLines="0" workbookViewId="0">
      <selection activeCell="G6" sqref="G6"/>
    </sheetView>
  </sheetViews>
  <sheetFormatPr defaultRowHeight="14.4" x14ac:dyDescent="0.3"/>
  <cols>
    <col min="1" max="1" width="17.21875" bestFit="1" customWidth="1"/>
    <col min="2" max="2" width="18.88671875" bestFit="1" customWidth="1"/>
    <col min="3" max="3" width="13.109375" bestFit="1" customWidth="1"/>
    <col min="4" max="4" width="16.44140625" bestFit="1" customWidth="1"/>
    <col min="6" max="6" width="17.21875" bestFit="1" customWidth="1"/>
    <col min="7" max="7" width="18.88671875" bestFit="1" customWidth="1"/>
    <col min="8" max="8" width="23" bestFit="1" customWidth="1"/>
    <col min="9" max="9" width="13.109375" bestFit="1" customWidth="1"/>
  </cols>
  <sheetData>
    <row r="3" spans="1:9" x14ac:dyDescent="0.3">
      <c r="A3" s="61" t="s">
        <v>148</v>
      </c>
      <c r="B3" t="s">
        <v>150</v>
      </c>
      <c r="C3" t="s">
        <v>151</v>
      </c>
      <c r="F3" s="61" t="s">
        <v>148</v>
      </c>
      <c r="G3" t="s">
        <v>150</v>
      </c>
      <c r="H3" t="s">
        <v>152</v>
      </c>
      <c r="I3" t="s">
        <v>151</v>
      </c>
    </row>
    <row r="4" spans="1:9" x14ac:dyDescent="0.3">
      <c r="A4" s="62" t="s">
        <v>153</v>
      </c>
      <c r="B4" s="59"/>
      <c r="C4" s="63">
        <v>0</v>
      </c>
      <c r="F4" s="64" t="s">
        <v>153</v>
      </c>
      <c r="G4" s="59"/>
      <c r="H4" s="63">
        <v>0</v>
      </c>
      <c r="I4" s="63">
        <v>0</v>
      </c>
    </row>
    <row r="5" spans="1:9" x14ac:dyDescent="0.3">
      <c r="A5" s="62" t="s">
        <v>149</v>
      </c>
      <c r="B5" s="59"/>
      <c r="C5" s="63">
        <v>0</v>
      </c>
      <c r="F5" s="64" t="s">
        <v>149</v>
      </c>
      <c r="G5" s="59"/>
      <c r="H5" s="63">
        <v>0</v>
      </c>
      <c r="I5" s="63">
        <v>0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2AAEB-D0EA-4B65-A085-34611DB4BF95}">
  <dimension ref="B2:M17"/>
  <sheetViews>
    <sheetView showGridLines="0" workbookViewId="0">
      <selection activeCell="J7" sqref="J6:J7"/>
    </sheetView>
  </sheetViews>
  <sheetFormatPr defaultRowHeight="14.4" x14ac:dyDescent="0.3"/>
  <cols>
    <col min="2" max="2" width="10.88671875" customWidth="1"/>
    <col min="3" max="3" width="10.5546875" bestFit="1" customWidth="1"/>
    <col min="4" max="4" width="10.109375" bestFit="1" customWidth="1"/>
    <col min="5" max="5" width="9.6640625" bestFit="1" customWidth="1"/>
    <col min="6" max="6" width="13.109375" bestFit="1" customWidth="1"/>
    <col min="7" max="7" width="15.33203125" bestFit="1" customWidth="1"/>
    <col min="8" max="8" width="10.33203125" bestFit="1" customWidth="1"/>
    <col min="9" max="9" width="11.5546875" bestFit="1" customWidth="1"/>
    <col min="10" max="10" width="9.6640625" bestFit="1" customWidth="1"/>
    <col min="11" max="11" width="17.21875" bestFit="1" customWidth="1"/>
    <col min="12" max="12" width="12.6640625" customWidth="1"/>
    <col min="13" max="13" width="18" bestFit="1" customWidth="1"/>
  </cols>
  <sheetData>
    <row r="2" spans="2:13" s="14" customFormat="1" ht="21" x14ac:dyDescent="0.4">
      <c r="B2" s="13" t="s">
        <v>123</v>
      </c>
    </row>
    <row r="3" spans="2:13" ht="30" customHeight="1" x14ac:dyDescent="0.3"/>
    <row r="4" spans="2:13" x14ac:dyDescent="0.3">
      <c r="B4" t="s">
        <v>104</v>
      </c>
      <c r="C4" t="s">
        <v>42</v>
      </c>
      <c r="D4" t="s">
        <v>96</v>
      </c>
      <c r="E4" t="s">
        <v>55</v>
      </c>
      <c r="F4" t="s">
        <v>56</v>
      </c>
      <c r="G4" t="s">
        <v>105</v>
      </c>
      <c r="H4" t="s">
        <v>106</v>
      </c>
      <c r="I4" t="s">
        <v>107</v>
      </c>
      <c r="J4" t="s">
        <v>108</v>
      </c>
      <c r="K4" t="s">
        <v>109</v>
      </c>
      <c r="L4" t="s">
        <v>110</v>
      </c>
      <c r="M4" t="s">
        <v>111</v>
      </c>
    </row>
    <row r="5" spans="2:13" x14ac:dyDescent="0.3">
      <c r="C5" s="9"/>
      <c r="E5" t="str">
        <f>IFERROR(VLOOKUP(Tabela59[[#This Row],[Produto]],cálculos!$H$3:$K$26,4,FALSE),"")</f>
        <v/>
      </c>
      <c r="G5" s="3">
        <f>IFERROR(VLOOKUP(Tabela59[[#This Row],[Produto]],cálculos!$H$3:$K$26,3,FALSE),0)</f>
        <v>0</v>
      </c>
      <c r="H5" s="3">
        <f>Tabela59[[#This Row],[Preco Unitario]]*Tabela59[[#This Row],[Quantidade]]</f>
        <v>0</v>
      </c>
      <c r="I5" s="6"/>
      <c r="K5" s="3">
        <f>IFERROR(VLOOKUP(Tabela59[[#This Row],[Entrega]],cálculos!$B$2:$C$7,2,FALSE),0)</f>
        <v>0</v>
      </c>
      <c r="L5" s="3">
        <f>Tabela59[[#This Row],[Subtotal]]*(1-Tabela59[[#This Row],[Desconto ]])+Tabela59[[#This Row],[Valor de Entrega]]</f>
        <v>0</v>
      </c>
      <c r="M5" s="3" t="str">
        <f>IF(Tabela59[[#This Row],[Id Venda]]=B6,"",SUMIF(Tabela59[Id Venda],Tabela59[[#This Row],[Id Venda]],Tabela59[Total]))</f>
        <v/>
      </c>
    </row>
    <row r="6" spans="2:13" x14ac:dyDescent="0.3">
      <c r="C6" s="9"/>
      <c r="E6" t="str">
        <f>IFERROR(VLOOKUP(Tabela59[[#This Row],[Produto]],cálculos!$H$3:$K$26,4,FALSE),"")</f>
        <v/>
      </c>
      <c r="G6" s="3">
        <f>IFERROR(VLOOKUP(Tabela59[[#This Row],[Produto]],cálculos!$H$3:$K$26,3,FALSE),0)</f>
        <v>0</v>
      </c>
      <c r="H6" s="3">
        <f>Tabela59[[#This Row],[Preco Unitario]]*Tabela59[[#This Row],[Quantidade]]</f>
        <v>0</v>
      </c>
      <c r="I6" s="6"/>
      <c r="K6" s="3">
        <f>IFERROR(VLOOKUP(Tabela59[[#This Row],[Entrega]],cálculos!$B$2:$C$7,2,FALSE),0)</f>
        <v>0</v>
      </c>
      <c r="L6" s="3">
        <f>Tabela59[[#This Row],[Subtotal]]*(1-Tabela59[[#This Row],[Desconto ]])+Tabela59[[#This Row],[Valor de Entrega]]</f>
        <v>0</v>
      </c>
      <c r="M6" s="3" t="str">
        <f>IF(Tabela59[[#This Row],[Id Venda]]=B7,"",SUMIF(Tabela59[Id Venda],Tabela59[[#This Row],[Id Venda]],Tabela59[Total]))</f>
        <v/>
      </c>
    </row>
    <row r="7" spans="2:13" x14ac:dyDescent="0.3">
      <c r="E7" t="str">
        <f>IFERROR(VLOOKUP(Tabela59[[#This Row],[Produto]],cálculos!$H$3:$K$26,4,FALSE),"")</f>
        <v/>
      </c>
      <c r="G7" s="3">
        <f>IFERROR(VLOOKUP(Tabela59[[#This Row],[Produto]],cálculos!$H$3:$K$26,3,FALSE),0)</f>
        <v>0</v>
      </c>
      <c r="H7" s="3">
        <f>Tabela59[[#This Row],[Preco Unitario]]*Tabela59[[#This Row],[Quantidade]]</f>
        <v>0</v>
      </c>
      <c r="I7" s="6"/>
      <c r="K7" s="3">
        <f>IFERROR(VLOOKUP(Tabela59[[#This Row],[Entrega]],cálculos!$B$2:$C$7,2,FALSE),0)</f>
        <v>0</v>
      </c>
      <c r="L7" s="3">
        <f>Tabela59[[#This Row],[Subtotal]]*(1-Tabela59[[#This Row],[Desconto ]])+Tabela59[[#This Row],[Valor de Entrega]]</f>
        <v>0</v>
      </c>
      <c r="M7" s="3" t="str">
        <f>IF(Tabela59[[#This Row],[Id Venda]]=B8,"",SUMIF(Tabela59[Id Venda],Tabela59[[#This Row],[Id Venda]],Tabela59[Total]))</f>
        <v/>
      </c>
    </row>
    <row r="8" spans="2:13" x14ac:dyDescent="0.3">
      <c r="E8" t="str">
        <f>IFERROR(VLOOKUP(Tabela59[[#This Row],[Produto]],cálculos!$H$3:$K$26,4,FALSE),"")</f>
        <v/>
      </c>
      <c r="G8" s="3">
        <f>IFERROR(VLOOKUP(Tabela59[[#This Row],[Produto]],cálculos!$H$3:$K$26,3,FALSE),0)</f>
        <v>0</v>
      </c>
      <c r="H8" s="3">
        <f>Tabela59[[#This Row],[Preco Unitario]]*Tabela59[[#This Row],[Quantidade]]</f>
        <v>0</v>
      </c>
      <c r="I8" s="6"/>
      <c r="K8" s="3">
        <f>IFERROR(VLOOKUP(Tabela59[[#This Row],[Entrega]],cálculos!$B$2:$C$7,2,FALSE),0)</f>
        <v>0</v>
      </c>
      <c r="L8" s="3">
        <f>Tabela59[[#This Row],[Subtotal]]*(1-Tabela59[[#This Row],[Desconto ]])+Tabela59[[#This Row],[Valor de Entrega]]</f>
        <v>0</v>
      </c>
      <c r="M8" s="3" t="str">
        <f>IF(Tabela59[[#This Row],[Id Venda]]=B9,"",SUMIF(Tabela59[Id Venda],Tabela59[[#This Row],[Id Venda]],Tabela59[Total]))</f>
        <v/>
      </c>
    </row>
    <row r="9" spans="2:13" x14ac:dyDescent="0.3">
      <c r="E9" t="str">
        <f>IFERROR(VLOOKUP(Tabela59[[#This Row],[Produto]],cálculos!$H$3:$K$26,4,FALSE),"")</f>
        <v/>
      </c>
      <c r="G9" s="3">
        <f>IFERROR(VLOOKUP(Tabela59[[#This Row],[Produto]],cálculos!$H$3:$K$26,3,FALSE),0)</f>
        <v>0</v>
      </c>
      <c r="H9" s="3">
        <f>Tabela59[[#This Row],[Preco Unitario]]*Tabela59[[#This Row],[Quantidade]]</f>
        <v>0</v>
      </c>
      <c r="I9" s="6"/>
      <c r="K9" s="3">
        <f>IFERROR(VLOOKUP(Tabela59[[#This Row],[Entrega]],cálculos!$B$2:$C$7,2,FALSE),0)</f>
        <v>0</v>
      </c>
      <c r="L9" s="3">
        <f>Tabela59[[#This Row],[Subtotal]]*(1-Tabela59[[#This Row],[Desconto ]])+Tabela59[[#This Row],[Valor de Entrega]]</f>
        <v>0</v>
      </c>
      <c r="M9" s="3" t="str">
        <f>IF(Tabela59[[#This Row],[Id Venda]]=B10,"",SUMIF(Tabela59[Id Venda],Tabela59[[#This Row],[Id Venda]],Tabela59[Total]))</f>
        <v/>
      </c>
    </row>
    <row r="10" spans="2:13" x14ac:dyDescent="0.3">
      <c r="E10" t="str">
        <f>IFERROR(VLOOKUP(Tabela59[[#This Row],[Produto]],cálculos!$H$3:$K$26,4,FALSE),"")</f>
        <v/>
      </c>
      <c r="G10" s="3">
        <f>IFERROR(VLOOKUP(Tabela59[[#This Row],[Produto]],cálculos!$H$3:$K$26,3,FALSE),0)</f>
        <v>0</v>
      </c>
      <c r="H10" s="3">
        <f>Tabela59[[#This Row],[Preco Unitario]]*Tabela59[[#This Row],[Quantidade]]</f>
        <v>0</v>
      </c>
      <c r="I10" s="6"/>
      <c r="K10" s="3">
        <f>IFERROR(VLOOKUP(Tabela59[[#This Row],[Entrega]],cálculos!$B$2:$C$7,2,FALSE),0)</f>
        <v>0</v>
      </c>
      <c r="L10" s="3">
        <f>Tabela59[[#This Row],[Subtotal]]*(1-Tabela59[[#This Row],[Desconto ]])+Tabela59[[#This Row],[Valor de Entrega]]</f>
        <v>0</v>
      </c>
      <c r="M10" s="3" t="str">
        <f>IF(Tabela59[[#This Row],[Id Venda]]=B11,"",SUMIF(Tabela59[Id Venda],Tabela59[[#This Row],[Id Venda]],Tabela59[Total]))</f>
        <v/>
      </c>
    </row>
    <row r="11" spans="2:13" x14ac:dyDescent="0.3">
      <c r="E11" t="str">
        <f>IFERROR(VLOOKUP(Tabela59[[#This Row],[Produto]],cálculos!$H$3:$K$26,4,FALSE),"")</f>
        <v/>
      </c>
      <c r="G11" s="3">
        <f>IFERROR(VLOOKUP(Tabela59[[#This Row],[Produto]],cálculos!$H$3:$K$26,3,FALSE),0)</f>
        <v>0</v>
      </c>
      <c r="H11" s="3">
        <f>Tabela59[[#This Row],[Preco Unitario]]*Tabela59[[#This Row],[Quantidade]]</f>
        <v>0</v>
      </c>
      <c r="I11" s="6"/>
      <c r="K11" s="3">
        <f>IFERROR(VLOOKUP(Tabela59[[#This Row],[Entrega]],cálculos!$B$2:$C$7,2,FALSE),0)</f>
        <v>0</v>
      </c>
      <c r="L11" s="3">
        <f>Tabela59[[#This Row],[Subtotal]]*(1-Tabela59[[#This Row],[Desconto ]])+Tabela59[[#This Row],[Valor de Entrega]]</f>
        <v>0</v>
      </c>
      <c r="M11" s="3" t="str">
        <f>IF(Tabela59[[#This Row],[Id Venda]]=B12,"",SUMIF(Tabela59[Id Venda],Tabela59[[#This Row],[Id Venda]],Tabela59[Total]))</f>
        <v/>
      </c>
    </row>
    <row r="12" spans="2:13" x14ac:dyDescent="0.3">
      <c r="E12" t="str">
        <f>IFERROR(VLOOKUP(Tabela59[[#This Row],[Produto]],cálculos!$H$3:$K$26,4,FALSE),"")</f>
        <v/>
      </c>
      <c r="G12" s="3">
        <f>IFERROR(VLOOKUP(Tabela59[[#This Row],[Produto]],cálculos!$H$3:$K$26,3,FALSE),0)</f>
        <v>0</v>
      </c>
      <c r="H12" s="3">
        <f>Tabela59[[#This Row],[Preco Unitario]]*Tabela59[[#This Row],[Quantidade]]</f>
        <v>0</v>
      </c>
      <c r="I12" s="6"/>
      <c r="K12" s="3">
        <f>IFERROR(VLOOKUP(Tabela59[[#This Row],[Entrega]],cálculos!$B$2:$C$7,2,FALSE),0)</f>
        <v>0</v>
      </c>
      <c r="L12" s="3">
        <f>Tabela59[[#This Row],[Subtotal]]*(1-Tabela59[[#This Row],[Desconto ]])+Tabela59[[#This Row],[Valor de Entrega]]</f>
        <v>0</v>
      </c>
      <c r="M12" s="3" t="str">
        <f>IF(Tabela59[[#This Row],[Id Venda]]=B13,"",SUMIF(Tabela59[Id Venda],Tabela59[[#This Row],[Id Venda]],Tabela59[Total]))</f>
        <v/>
      </c>
    </row>
    <row r="13" spans="2:13" x14ac:dyDescent="0.3">
      <c r="E13" t="str">
        <f>IFERROR(VLOOKUP(Tabela59[[#This Row],[Produto]],cálculos!$H$3:$K$26,4,FALSE),"")</f>
        <v/>
      </c>
      <c r="G13" s="3">
        <f>IFERROR(VLOOKUP(Tabela59[[#This Row],[Produto]],cálculos!$H$3:$K$26,3,FALSE),0)</f>
        <v>0</v>
      </c>
      <c r="H13" s="3">
        <f>Tabela59[[#This Row],[Preco Unitario]]*Tabela59[[#This Row],[Quantidade]]</f>
        <v>0</v>
      </c>
      <c r="I13" s="6"/>
      <c r="K13" s="3">
        <f>IFERROR(VLOOKUP(Tabela59[[#This Row],[Entrega]],cálculos!$B$2:$C$7,2,FALSE),0)</f>
        <v>0</v>
      </c>
      <c r="L13" s="3">
        <f>Tabela59[[#This Row],[Subtotal]]*(1-Tabela59[[#This Row],[Desconto ]])+Tabela59[[#This Row],[Valor de Entrega]]</f>
        <v>0</v>
      </c>
      <c r="M13" s="3" t="str">
        <f>IF(Tabela59[[#This Row],[Id Venda]]=B14,"",SUMIF(Tabela59[Id Venda],Tabela59[[#This Row],[Id Venda]],Tabela59[Total]))</f>
        <v/>
      </c>
    </row>
    <row r="15" spans="2:13" ht="18" x14ac:dyDescent="0.35">
      <c r="B15" s="37" t="s">
        <v>119</v>
      </c>
      <c r="C15" s="37"/>
      <c r="D15" s="37"/>
      <c r="E15" s="38"/>
      <c r="F15" s="38"/>
      <c r="G15" s="38"/>
      <c r="H15" s="38"/>
      <c r="I15" s="38"/>
      <c r="J15" s="38"/>
      <c r="K15" s="38"/>
      <c r="L15" s="38"/>
      <c r="M15" s="39">
        <f>SUM(Tabela59[Total])</f>
        <v>0</v>
      </c>
    </row>
    <row r="16" spans="2:13" ht="18" x14ac:dyDescent="0.35">
      <c r="B16" s="40" t="s">
        <v>120</v>
      </c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2">
        <f>SUM(Tabela59[Valor de Entrega])</f>
        <v>0</v>
      </c>
    </row>
    <row r="17" spans="2:13" ht="18" x14ac:dyDescent="0.35">
      <c r="B17" s="15" t="s">
        <v>135</v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43" cm="1">
        <f t="array" ref="M17">SUM(IF(FREQUENCY(Tabela59[Id Venda],Tabela59[Id Venda])&gt;0,1,0))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49BC9DC-970E-4B29-ABC9-38C7D7D74385}">
          <x14:formula1>
            <xm:f>cálculos!$B$3:$B$7</xm:f>
          </x14:formula1>
          <xm:sqref>J5:J13</xm:sqref>
        </x14:dataValidation>
        <x14:dataValidation type="list" allowBlank="1" showInputMessage="1" showErrorMessage="1" xr:uid="{278436F4-6F24-4426-9B3D-7646A5D3922C}">
          <x14:formula1>
            <xm:f>cálculos!$H$3:$H$26</xm:f>
          </x14:formula1>
          <xm:sqref>D5:D13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FCC5B-8BA5-435F-9791-D656B22345F2}">
  <dimension ref="A3:I5"/>
  <sheetViews>
    <sheetView showGridLines="0" workbookViewId="0">
      <selection activeCell="B4" sqref="B4"/>
    </sheetView>
  </sheetViews>
  <sheetFormatPr defaultRowHeight="14.4" x14ac:dyDescent="0.3"/>
  <cols>
    <col min="1" max="1" width="17.21875" bestFit="1" customWidth="1"/>
    <col min="2" max="2" width="18.88671875" bestFit="1" customWidth="1"/>
    <col min="3" max="3" width="13.109375" bestFit="1" customWidth="1"/>
    <col min="4" max="4" width="16.44140625" bestFit="1" customWidth="1"/>
    <col min="6" max="6" width="17.21875" bestFit="1" customWidth="1"/>
    <col min="7" max="7" width="18.88671875" bestFit="1" customWidth="1"/>
    <col min="8" max="8" width="23" bestFit="1" customWidth="1"/>
    <col min="9" max="9" width="13.109375" bestFit="1" customWidth="1"/>
  </cols>
  <sheetData>
    <row r="3" spans="1:9" x14ac:dyDescent="0.3">
      <c r="A3" s="61" t="s">
        <v>148</v>
      </c>
      <c r="B3" t="s">
        <v>150</v>
      </c>
      <c r="C3" t="s">
        <v>151</v>
      </c>
      <c r="F3" s="61" t="s">
        <v>148</v>
      </c>
      <c r="G3" t="s">
        <v>150</v>
      </c>
      <c r="H3" t="s">
        <v>152</v>
      </c>
      <c r="I3" t="s">
        <v>151</v>
      </c>
    </row>
    <row r="4" spans="1:9" x14ac:dyDescent="0.3">
      <c r="A4" s="62" t="s">
        <v>153</v>
      </c>
      <c r="B4" s="59"/>
      <c r="C4" s="63">
        <v>0</v>
      </c>
      <c r="F4" s="64" t="s">
        <v>153</v>
      </c>
      <c r="G4" s="59"/>
      <c r="H4" s="63">
        <v>0</v>
      </c>
      <c r="I4" s="63">
        <v>0</v>
      </c>
    </row>
    <row r="5" spans="1:9" x14ac:dyDescent="0.3">
      <c r="A5" s="62" t="s">
        <v>149</v>
      </c>
      <c r="B5" s="59"/>
      <c r="C5" s="63">
        <v>0</v>
      </c>
      <c r="F5" s="64" t="s">
        <v>149</v>
      </c>
      <c r="G5" s="59"/>
      <c r="H5" s="63">
        <v>0</v>
      </c>
      <c r="I5" s="63">
        <v>0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A0DC9-7AB7-42FD-90D1-365E9F0EE0EC}">
  <dimension ref="B2:M17"/>
  <sheetViews>
    <sheetView showGridLines="0" workbookViewId="0"/>
  </sheetViews>
  <sheetFormatPr defaultRowHeight="14.4" x14ac:dyDescent="0.3"/>
  <cols>
    <col min="2" max="2" width="11" customWidth="1"/>
    <col min="3" max="3" width="10.5546875" bestFit="1" customWidth="1"/>
    <col min="4" max="4" width="10.109375" bestFit="1" customWidth="1"/>
    <col min="5" max="5" width="9.6640625" bestFit="1" customWidth="1"/>
    <col min="6" max="6" width="13.109375" bestFit="1" customWidth="1"/>
    <col min="7" max="7" width="15.33203125" bestFit="1" customWidth="1"/>
    <col min="8" max="8" width="10.33203125" bestFit="1" customWidth="1"/>
    <col min="9" max="9" width="11.5546875" bestFit="1" customWidth="1"/>
    <col min="10" max="10" width="9.6640625" bestFit="1" customWidth="1"/>
    <col min="11" max="11" width="17.21875" bestFit="1" customWidth="1"/>
    <col min="12" max="12" width="12.6640625" customWidth="1"/>
    <col min="13" max="13" width="18" bestFit="1" customWidth="1"/>
  </cols>
  <sheetData>
    <row r="2" spans="2:13" s="14" customFormat="1" ht="21" x14ac:dyDescent="0.4">
      <c r="B2" s="13" t="s">
        <v>130</v>
      </c>
    </row>
    <row r="3" spans="2:13" ht="30" customHeight="1" x14ac:dyDescent="0.3"/>
    <row r="4" spans="2:13" x14ac:dyDescent="0.3">
      <c r="B4" t="s">
        <v>104</v>
      </c>
      <c r="C4" t="s">
        <v>42</v>
      </c>
      <c r="D4" t="s">
        <v>96</v>
      </c>
      <c r="E4" t="s">
        <v>55</v>
      </c>
      <c r="F4" t="s">
        <v>56</v>
      </c>
      <c r="G4" t="s">
        <v>105</v>
      </c>
      <c r="H4" t="s">
        <v>106</v>
      </c>
      <c r="I4" t="s">
        <v>107</v>
      </c>
      <c r="J4" t="s">
        <v>108</v>
      </c>
      <c r="K4" t="s">
        <v>109</v>
      </c>
      <c r="L4" t="s">
        <v>110</v>
      </c>
      <c r="M4" t="s">
        <v>111</v>
      </c>
    </row>
    <row r="5" spans="2:13" x14ac:dyDescent="0.3">
      <c r="B5">
        <f t="shared" ref="B5:B13" si="0">SUM(B6+1)</f>
        <v>9</v>
      </c>
      <c r="C5" s="9"/>
      <c r="E5" t="str">
        <f>IFERROR(VLOOKUP(Tabela5910[[#This Row],[Produto]],cálculos!$H$3:$K$26,4,FALSE),"")</f>
        <v/>
      </c>
      <c r="G5" s="3">
        <f>IFERROR(VLOOKUP(Tabela5910[[#This Row],[Produto]],cálculos!$H$3:$K$26,3,FALSE),0)</f>
        <v>0</v>
      </c>
      <c r="H5" s="3">
        <f>Tabela5910[[#This Row],[Preco Unitario]]*Tabela5910[[#This Row],[Quantidade]]</f>
        <v>0</v>
      </c>
      <c r="I5" s="6"/>
      <c r="K5" s="3">
        <f>IFERROR(VLOOKUP(Tabela5910[[#This Row],[Entrega]],cálculos!$B$2:$C$7,2,FALSE),0)</f>
        <v>0</v>
      </c>
      <c r="L5" s="3">
        <f>Tabela5910[[#This Row],[Subtotal]]*(1-Tabela5910[[#This Row],[Desconto ]])+Tabela5910[[#This Row],[Valor de Entrega]]</f>
        <v>0</v>
      </c>
      <c r="M5" s="3">
        <f>IF(Tabela5910[[#This Row],[Id Venda]]=B6,"",SUMIF(Tabela5910[Id Venda],Tabela5910[[#This Row],[Id Venda]],Tabela5910[Total]))</f>
        <v>0</v>
      </c>
    </row>
    <row r="6" spans="2:13" x14ac:dyDescent="0.3">
      <c r="B6">
        <f t="shared" si="0"/>
        <v>8</v>
      </c>
      <c r="C6" s="9"/>
      <c r="E6" t="str">
        <f>IFERROR(VLOOKUP(Tabela5910[[#This Row],[Produto]],cálculos!$H$3:$K$26,4,FALSE),"")</f>
        <v/>
      </c>
      <c r="G6" s="3">
        <f>IFERROR(VLOOKUP(Tabela5910[[#This Row],[Produto]],cálculos!$H$3:$K$26,3,FALSE),0)</f>
        <v>0</v>
      </c>
      <c r="H6" s="3">
        <f>Tabela5910[[#This Row],[Preco Unitario]]*Tabela5910[[#This Row],[Quantidade]]</f>
        <v>0</v>
      </c>
      <c r="I6" s="6"/>
      <c r="K6" s="3">
        <f>IFERROR(VLOOKUP(Tabela5910[[#This Row],[Entrega]],cálculos!$B$2:$C$7,2,FALSE),0)</f>
        <v>0</v>
      </c>
      <c r="L6" s="3">
        <f>Tabela5910[[#This Row],[Subtotal]]*(1-Tabela5910[[#This Row],[Desconto ]])+Tabela5910[[#This Row],[Valor de Entrega]]</f>
        <v>0</v>
      </c>
      <c r="M6" s="3">
        <f>IF(Tabela5910[[#This Row],[Id Venda]]=B7,"",SUMIF(Tabela5910[Id Venda],Tabela5910[[#This Row],[Id Venda]],Tabela5910[Total]))</f>
        <v>0</v>
      </c>
    </row>
    <row r="7" spans="2:13" x14ac:dyDescent="0.3">
      <c r="B7">
        <f t="shared" si="0"/>
        <v>7</v>
      </c>
      <c r="E7" t="str">
        <f>IFERROR(VLOOKUP(Tabela5910[[#This Row],[Produto]],cálculos!$H$3:$K$26,4,FALSE),"")</f>
        <v/>
      </c>
      <c r="G7" s="3">
        <f>IFERROR(VLOOKUP(Tabela5910[[#This Row],[Produto]],cálculos!$H$3:$K$26,3,FALSE),0)</f>
        <v>0</v>
      </c>
      <c r="H7" s="3">
        <f>Tabela5910[[#This Row],[Preco Unitario]]*Tabela5910[[#This Row],[Quantidade]]</f>
        <v>0</v>
      </c>
      <c r="I7" s="6"/>
      <c r="K7" s="3">
        <f>IFERROR(VLOOKUP(Tabela5910[[#This Row],[Entrega]],cálculos!$B$2:$C$7,2,FALSE),0)</f>
        <v>0</v>
      </c>
      <c r="L7" s="3">
        <f>Tabela5910[[#This Row],[Subtotal]]*(1-Tabela5910[[#This Row],[Desconto ]])+Tabela5910[[#This Row],[Valor de Entrega]]</f>
        <v>0</v>
      </c>
      <c r="M7" s="3">
        <f>IF(Tabela5910[[#This Row],[Id Venda]]=B8,"",SUMIF(Tabela5910[Id Venda],Tabela5910[[#This Row],[Id Venda]],Tabela5910[Total]))</f>
        <v>0</v>
      </c>
    </row>
    <row r="8" spans="2:13" x14ac:dyDescent="0.3">
      <c r="B8">
        <f t="shared" si="0"/>
        <v>6</v>
      </c>
      <c r="E8" t="str">
        <f>IFERROR(VLOOKUP(Tabela5910[[#This Row],[Produto]],cálculos!$H$3:$K$26,4,FALSE),"")</f>
        <v/>
      </c>
      <c r="G8" s="3">
        <f>IFERROR(VLOOKUP(Tabela5910[[#This Row],[Produto]],cálculos!$H$3:$K$26,3,FALSE),0)</f>
        <v>0</v>
      </c>
      <c r="H8" s="3">
        <f>Tabela5910[[#This Row],[Preco Unitario]]*Tabela5910[[#This Row],[Quantidade]]</f>
        <v>0</v>
      </c>
      <c r="I8" s="6"/>
      <c r="K8" s="3">
        <f>IFERROR(VLOOKUP(Tabela5910[[#This Row],[Entrega]],cálculos!$B$2:$C$7,2,FALSE),0)</f>
        <v>0</v>
      </c>
      <c r="L8" s="3">
        <f>Tabela5910[[#This Row],[Subtotal]]*(1-Tabela5910[[#This Row],[Desconto ]])+Tabela5910[[#This Row],[Valor de Entrega]]</f>
        <v>0</v>
      </c>
      <c r="M8" s="3">
        <f>IF(Tabela5910[[#This Row],[Id Venda]]=B9,"",SUMIF(Tabela5910[Id Venda],Tabela5910[[#This Row],[Id Venda]],Tabela5910[Total]))</f>
        <v>0</v>
      </c>
    </row>
    <row r="9" spans="2:13" x14ac:dyDescent="0.3">
      <c r="B9">
        <f t="shared" si="0"/>
        <v>5</v>
      </c>
      <c r="E9" t="str">
        <f>IFERROR(VLOOKUP(Tabela5910[[#This Row],[Produto]],cálculos!$H$3:$K$26,4,FALSE),"")</f>
        <v/>
      </c>
      <c r="G9" s="3">
        <f>IFERROR(VLOOKUP(Tabela5910[[#This Row],[Produto]],cálculos!$H$3:$K$26,3,FALSE),0)</f>
        <v>0</v>
      </c>
      <c r="H9" s="3">
        <f>Tabela5910[[#This Row],[Preco Unitario]]*Tabela5910[[#This Row],[Quantidade]]</f>
        <v>0</v>
      </c>
      <c r="I9" s="6"/>
      <c r="K9" s="3">
        <f>IFERROR(VLOOKUP(Tabela5910[[#This Row],[Entrega]],cálculos!$B$2:$C$7,2,FALSE),0)</f>
        <v>0</v>
      </c>
      <c r="L9" s="3">
        <f>Tabela5910[[#This Row],[Subtotal]]*(1-Tabela5910[[#This Row],[Desconto ]])+Tabela5910[[#This Row],[Valor de Entrega]]</f>
        <v>0</v>
      </c>
      <c r="M9" s="3">
        <f>IF(Tabela5910[[#This Row],[Id Venda]]=B10,"",SUMIF(Tabela5910[Id Venda],Tabela5910[[#This Row],[Id Venda]],Tabela5910[Total]))</f>
        <v>0</v>
      </c>
    </row>
    <row r="10" spans="2:13" x14ac:dyDescent="0.3">
      <c r="B10">
        <f t="shared" si="0"/>
        <v>4</v>
      </c>
      <c r="E10" t="str">
        <f>IFERROR(VLOOKUP(Tabela5910[[#This Row],[Produto]],cálculos!$H$3:$K$26,4,FALSE),"")</f>
        <v/>
      </c>
      <c r="G10" s="3">
        <f>IFERROR(VLOOKUP(Tabela5910[[#This Row],[Produto]],cálculos!$H$3:$K$26,3,FALSE),0)</f>
        <v>0</v>
      </c>
      <c r="H10" s="3">
        <f>Tabela5910[[#This Row],[Preco Unitario]]*Tabela5910[[#This Row],[Quantidade]]</f>
        <v>0</v>
      </c>
      <c r="I10" s="6"/>
      <c r="K10" s="3">
        <f>IFERROR(VLOOKUP(Tabela5910[[#This Row],[Entrega]],cálculos!$B$2:$C$7,2,FALSE),0)</f>
        <v>0</v>
      </c>
      <c r="L10" s="3">
        <f>Tabela5910[[#This Row],[Subtotal]]*(1-Tabela5910[[#This Row],[Desconto ]])+Tabela5910[[#This Row],[Valor de Entrega]]</f>
        <v>0</v>
      </c>
      <c r="M10" s="3">
        <f>IF(Tabela5910[[#This Row],[Id Venda]]=B11,"",SUMIF(Tabela5910[Id Venda],Tabela5910[[#This Row],[Id Venda]],Tabela5910[Total]))</f>
        <v>0</v>
      </c>
    </row>
    <row r="11" spans="2:13" x14ac:dyDescent="0.3">
      <c r="B11">
        <f t="shared" si="0"/>
        <v>3</v>
      </c>
      <c r="E11" t="str">
        <f>IFERROR(VLOOKUP(Tabela5910[[#This Row],[Produto]],cálculos!$H$3:$K$26,4,FALSE),"")</f>
        <v/>
      </c>
      <c r="G11" s="3">
        <f>IFERROR(VLOOKUP(Tabela5910[[#This Row],[Produto]],cálculos!$H$3:$K$26,3,FALSE),0)</f>
        <v>0</v>
      </c>
      <c r="H11" s="3">
        <f>Tabela5910[[#This Row],[Preco Unitario]]*Tabela5910[[#This Row],[Quantidade]]</f>
        <v>0</v>
      </c>
      <c r="I11" s="6"/>
      <c r="K11" s="3">
        <f>IFERROR(VLOOKUP(Tabela5910[[#This Row],[Entrega]],cálculos!$B$2:$C$7,2,FALSE),0)</f>
        <v>0</v>
      </c>
      <c r="L11" s="3">
        <f>Tabela5910[[#This Row],[Subtotal]]*(1-Tabela5910[[#This Row],[Desconto ]])+Tabela5910[[#This Row],[Valor de Entrega]]</f>
        <v>0</v>
      </c>
      <c r="M11" s="3">
        <f>IF(Tabela5910[[#This Row],[Id Venda]]=B12,"",SUMIF(Tabela5910[Id Venda],Tabela5910[[#This Row],[Id Venda]],Tabela5910[Total]))</f>
        <v>0</v>
      </c>
    </row>
    <row r="12" spans="2:13" x14ac:dyDescent="0.3">
      <c r="B12">
        <f t="shared" si="0"/>
        <v>2</v>
      </c>
      <c r="E12" t="str">
        <f>IFERROR(VLOOKUP(Tabela5910[[#This Row],[Produto]],cálculos!$H$3:$K$26,4,FALSE),"")</f>
        <v/>
      </c>
      <c r="G12" s="3">
        <f>IFERROR(VLOOKUP(Tabela5910[[#This Row],[Produto]],cálculos!$H$3:$K$26,3,FALSE),0)</f>
        <v>0</v>
      </c>
      <c r="H12" s="3">
        <f>Tabela5910[[#This Row],[Preco Unitario]]*Tabela5910[[#This Row],[Quantidade]]</f>
        <v>0</v>
      </c>
      <c r="I12" s="6"/>
      <c r="K12" s="3">
        <f>IFERROR(VLOOKUP(Tabela5910[[#This Row],[Entrega]],cálculos!$B$2:$C$7,2,FALSE),0)</f>
        <v>0</v>
      </c>
      <c r="L12" s="3">
        <f>Tabela5910[[#This Row],[Subtotal]]*(1-Tabela5910[[#This Row],[Desconto ]])+Tabela5910[[#This Row],[Valor de Entrega]]</f>
        <v>0</v>
      </c>
      <c r="M12" s="3">
        <f>IF(Tabela5910[[#This Row],[Id Venda]]=B13,"",SUMIF(Tabela5910[Id Venda],Tabela5910[[#This Row],[Id Venda]],Tabela5910[Total]))</f>
        <v>0</v>
      </c>
    </row>
    <row r="13" spans="2:13" x14ac:dyDescent="0.3">
      <c r="B13">
        <f t="shared" si="0"/>
        <v>1</v>
      </c>
      <c r="E13" t="str">
        <f>IFERROR(VLOOKUP(Tabela5910[[#This Row],[Produto]],cálculos!$H$3:$K$26,4,FALSE),"")</f>
        <v/>
      </c>
      <c r="G13" s="3">
        <f>IFERROR(VLOOKUP(Tabela5910[[#This Row],[Produto]],cálculos!$H$3:$K$26,3,FALSE),0)</f>
        <v>0</v>
      </c>
      <c r="H13" s="3">
        <f>Tabela5910[[#This Row],[Preco Unitario]]*Tabela5910[[#This Row],[Quantidade]]</f>
        <v>0</v>
      </c>
      <c r="I13" s="6"/>
      <c r="K13" s="3">
        <f>IFERROR(VLOOKUP(Tabela5910[[#This Row],[Entrega]],cálculos!$B$2:$C$7,2,FALSE),0)</f>
        <v>0</v>
      </c>
      <c r="L13" s="3">
        <f>Tabela5910[[#This Row],[Subtotal]]*(1-Tabela5910[[#This Row],[Desconto ]])+Tabela5910[[#This Row],[Valor de Entrega]]</f>
        <v>0</v>
      </c>
      <c r="M13" s="3">
        <f>IF(Tabela5910[[#This Row],[Id Venda]]=B14,"",SUMIF(Tabela5910[Id Venda],Tabela5910[[#This Row],[Id Venda]],Tabela5910[Total]))</f>
        <v>0</v>
      </c>
    </row>
    <row r="15" spans="2:13" ht="18" x14ac:dyDescent="0.35">
      <c r="B15" s="37" t="s">
        <v>119</v>
      </c>
      <c r="C15" s="37"/>
      <c r="D15" s="37"/>
      <c r="E15" s="38"/>
      <c r="F15" s="38"/>
      <c r="G15" s="38"/>
      <c r="H15" s="38"/>
      <c r="I15" s="38"/>
      <c r="J15" s="38"/>
      <c r="K15" s="38"/>
      <c r="L15" s="38"/>
      <c r="M15" s="39">
        <f>SUM(Tabela5910[Total])</f>
        <v>0</v>
      </c>
    </row>
    <row r="16" spans="2:13" ht="18" x14ac:dyDescent="0.35">
      <c r="B16" s="40" t="s">
        <v>120</v>
      </c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2">
        <f>SUM(Tabela5910[Valor de Entrega])</f>
        <v>0</v>
      </c>
    </row>
    <row r="17" spans="2:13" ht="18" x14ac:dyDescent="0.35">
      <c r="B17" s="15" t="s">
        <v>135</v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43" cm="1">
        <f t="array" ref="M17">SUM(IF(FREQUENCY(Tabela5910[Id Venda],Tabela5910[Id Venda])&gt;0,1,0))</f>
        <v>9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70611A5-AB37-4D7F-A700-7964ACB0773A}">
          <x14:formula1>
            <xm:f>cálculos!$H$3:$H$26</xm:f>
          </x14:formula1>
          <xm:sqref>D5:D13</xm:sqref>
        </x14:dataValidation>
        <x14:dataValidation type="list" allowBlank="1" showInputMessage="1" showErrorMessage="1" xr:uid="{CDC9724F-AAF0-493C-947F-FB759EF4BA87}">
          <x14:formula1>
            <xm:f>cálculos!$B$3:$B$7</xm:f>
          </x14:formula1>
          <xm:sqref>J5:J13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7E820-B228-4DFD-83E2-A92ED0D822BA}">
  <dimension ref="A3:I5"/>
  <sheetViews>
    <sheetView showGridLines="0" workbookViewId="0">
      <selection activeCell="H13" sqref="H13"/>
    </sheetView>
  </sheetViews>
  <sheetFormatPr defaultRowHeight="14.4" x14ac:dyDescent="0.3"/>
  <cols>
    <col min="1" max="1" width="17.21875" bestFit="1" customWidth="1"/>
    <col min="2" max="2" width="18.88671875" bestFit="1" customWidth="1"/>
    <col min="3" max="3" width="13.109375" bestFit="1" customWidth="1"/>
    <col min="4" max="4" width="16.44140625" bestFit="1" customWidth="1"/>
    <col min="6" max="6" width="17.21875" bestFit="1" customWidth="1"/>
    <col min="7" max="7" width="18.88671875" bestFit="1" customWidth="1"/>
    <col min="8" max="8" width="23" bestFit="1" customWidth="1"/>
    <col min="9" max="9" width="13.109375" bestFit="1" customWidth="1"/>
  </cols>
  <sheetData>
    <row r="3" spans="1:9" x14ac:dyDescent="0.3">
      <c r="A3" s="61" t="s">
        <v>148</v>
      </c>
      <c r="B3" t="s">
        <v>150</v>
      </c>
      <c r="C3" t="s">
        <v>151</v>
      </c>
      <c r="F3" s="61" t="s">
        <v>148</v>
      </c>
      <c r="G3" t="s">
        <v>150</v>
      </c>
      <c r="H3" t="s">
        <v>152</v>
      </c>
      <c r="I3" t="s">
        <v>151</v>
      </c>
    </row>
    <row r="4" spans="1:9" x14ac:dyDescent="0.3">
      <c r="A4" s="62" t="s">
        <v>153</v>
      </c>
      <c r="B4" s="59"/>
      <c r="C4" s="63">
        <v>0</v>
      </c>
      <c r="F4" s="64" t="s">
        <v>153</v>
      </c>
      <c r="G4" s="59"/>
      <c r="H4" s="63">
        <v>0</v>
      </c>
      <c r="I4" s="63">
        <v>0</v>
      </c>
    </row>
    <row r="5" spans="1:9" x14ac:dyDescent="0.3">
      <c r="A5" s="62" t="s">
        <v>149</v>
      </c>
      <c r="B5" s="59"/>
      <c r="C5" s="63">
        <v>0</v>
      </c>
      <c r="F5" s="64" t="s">
        <v>149</v>
      </c>
      <c r="G5" s="59"/>
      <c r="H5" s="63">
        <v>0</v>
      </c>
      <c r="I5" s="63">
        <v>0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2:K26"/>
  <sheetViews>
    <sheetView workbookViewId="0">
      <selection activeCell="B3" sqref="B3"/>
    </sheetView>
  </sheetViews>
  <sheetFormatPr defaultRowHeight="14.4" x14ac:dyDescent="0.3"/>
  <cols>
    <col min="2" max="2" width="17" bestFit="1" customWidth="1"/>
    <col min="3" max="3" width="8.33203125" bestFit="1" customWidth="1"/>
    <col min="8" max="8" width="14.77734375" bestFit="1" customWidth="1"/>
    <col min="9" max="9" width="25.21875" bestFit="1" customWidth="1"/>
    <col min="10" max="10" width="24" bestFit="1" customWidth="1"/>
    <col min="11" max="11" width="9.6640625" bestFit="1" customWidth="1"/>
  </cols>
  <sheetData>
    <row r="2" spans="2:11" x14ac:dyDescent="0.3">
      <c r="B2" s="8" t="s">
        <v>112</v>
      </c>
      <c r="C2" s="8" t="s">
        <v>113</v>
      </c>
      <c r="H2" s="8" t="s">
        <v>60</v>
      </c>
      <c r="I2" s="8" t="s">
        <v>61</v>
      </c>
      <c r="J2" s="8" t="s">
        <v>62</v>
      </c>
      <c r="K2" s="8" t="s">
        <v>55</v>
      </c>
    </row>
    <row r="3" spans="2:11" x14ac:dyDescent="0.3">
      <c r="B3" t="s">
        <v>114</v>
      </c>
      <c r="C3" s="3">
        <v>5</v>
      </c>
      <c r="H3" t="s">
        <v>20</v>
      </c>
      <c r="I3" s="7">
        <v>2.8405</v>
      </c>
      <c r="J3" s="7">
        <v>2.99</v>
      </c>
      <c r="K3" t="s">
        <v>63</v>
      </c>
    </row>
    <row r="4" spans="2:11" x14ac:dyDescent="0.3">
      <c r="B4" t="s">
        <v>115</v>
      </c>
      <c r="C4" s="3">
        <v>0</v>
      </c>
      <c r="H4" t="s">
        <v>29</v>
      </c>
      <c r="I4" s="7">
        <v>1.0580000000000001</v>
      </c>
      <c r="J4" s="7">
        <v>1.1499999999999999</v>
      </c>
      <c r="K4" t="s">
        <v>64</v>
      </c>
    </row>
    <row r="5" spans="2:11" x14ac:dyDescent="0.3">
      <c r="B5" t="s">
        <v>116</v>
      </c>
      <c r="C5" s="3">
        <v>6.5</v>
      </c>
      <c r="H5" t="s">
        <v>17</v>
      </c>
      <c r="I5" s="7">
        <v>2.3406000000000002</v>
      </c>
      <c r="J5" s="7">
        <v>2.4900000000000002</v>
      </c>
      <c r="K5" t="s">
        <v>65</v>
      </c>
    </row>
    <row r="6" spans="2:11" x14ac:dyDescent="0.3">
      <c r="B6" t="s">
        <v>117</v>
      </c>
      <c r="C6" s="3">
        <v>8</v>
      </c>
      <c r="H6" t="s">
        <v>34</v>
      </c>
      <c r="I6" s="7">
        <v>1.8506999999999998</v>
      </c>
      <c r="J6" s="7">
        <v>1.99</v>
      </c>
      <c r="K6" t="s">
        <v>64</v>
      </c>
    </row>
    <row r="7" spans="2:11" x14ac:dyDescent="0.3">
      <c r="B7" t="s">
        <v>118</v>
      </c>
      <c r="C7" s="3">
        <v>6.5</v>
      </c>
      <c r="H7" t="s">
        <v>37</v>
      </c>
      <c r="I7" s="7">
        <v>1.0924999999999998</v>
      </c>
      <c r="J7" s="7">
        <v>1.1499999999999999</v>
      </c>
      <c r="K7" t="s">
        <v>64</v>
      </c>
    </row>
    <row r="8" spans="2:11" x14ac:dyDescent="0.3">
      <c r="H8" t="s">
        <v>33</v>
      </c>
      <c r="I8" s="7">
        <v>0.74260000000000004</v>
      </c>
      <c r="J8" s="7">
        <v>0.79</v>
      </c>
      <c r="K8" t="s">
        <v>64</v>
      </c>
    </row>
    <row r="9" spans="2:11" x14ac:dyDescent="0.3">
      <c r="H9" t="s">
        <v>21</v>
      </c>
      <c r="I9" s="7">
        <v>14.469000000000001</v>
      </c>
      <c r="J9" s="7">
        <v>15.9</v>
      </c>
      <c r="K9" t="s">
        <v>65</v>
      </c>
    </row>
    <row r="10" spans="2:11" x14ac:dyDescent="0.3">
      <c r="H10" t="s">
        <v>27</v>
      </c>
      <c r="I10" s="7">
        <v>3.6309000000000005</v>
      </c>
      <c r="J10" s="7">
        <v>3.99</v>
      </c>
      <c r="K10" t="s">
        <v>65</v>
      </c>
    </row>
    <row r="11" spans="2:11" x14ac:dyDescent="0.3">
      <c r="H11" t="s">
        <v>30</v>
      </c>
      <c r="I11" s="7">
        <v>2.1023999999999998</v>
      </c>
      <c r="J11" s="7">
        <v>2.19</v>
      </c>
      <c r="K11" t="s">
        <v>68</v>
      </c>
    </row>
    <row r="12" spans="2:11" x14ac:dyDescent="0.3">
      <c r="H12" t="s">
        <v>35</v>
      </c>
      <c r="I12" s="7">
        <v>4.5409000000000006</v>
      </c>
      <c r="J12" s="7">
        <v>4.99</v>
      </c>
      <c r="K12" t="s">
        <v>69</v>
      </c>
    </row>
    <row r="13" spans="2:11" x14ac:dyDescent="0.3">
      <c r="H13" t="s">
        <v>36</v>
      </c>
      <c r="I13" s="7">
        <v>6.3449999999999998</v>
      </c>
      <c r="J13" s="7">
        <v>6.75</v>
      </c>
      <c r="K13" t="s">
        <v>70</v>
      </c>
    </row>
    <row r="14" spans="2:11" x14ac:dyDescent="0.3">
      <c r="H14" t="s">
        <v>32</v>
      </c>
      <c r="I14" s="7">
        <v>2.3660000000000001</v>
      </c>
      <c r="J14" s="7">
        <v>2.6</v>
      </c>
      <c r="K14" t="s">
        <v>63</v>
      </c>
    </row>
    <row r="15" spans="2:11" x14ac:dyDescent="0.3">
      <c r="B15">
        <v>1</v>
      </c>
      <c r="D15" t="e" cm="1">
        <f t="array" ref="D15">freq</f>
        <v>#NAME?</v>
      </c>
      <c r="H15" t="s">
        <v>18</v>
      </c>
      <c r="I15" s="7">
        <v>4.0659999999999998</v>
      </c>
      <c r="J15" s="7">
        <v>4.28</v>
      </c>
      <c r="K15" t="s">
        <v>65</v>
      </c>
    </row>
    <row r="16" spans="2:11" x14ac:dyDescent="0.3">
      <c r="B16">
        <v>2</v>
      </c>
      <c r="H16" t="s">
        <v>22</v>
      </c>
      <c r="I16" s="7">
        <v>6.4216000000000006</v>
      </c>
      <c r="J16" s="7">
        <v>6.98</v>
      </c>
      <c r="K16" t="s">
        <v>65</v>
      </c>
    </row>
    <row r="17" spans="2:11" x14ac:dyDescent="0.3">
      <c r="B17">
        <v>3</v>
      </c>
      <c r="H17" t="s">
        <v>66</v>
      </c>
      <c r="I17" s="7">
        <v>1.3708</v>
      </c>
      <c r="J17" s="7">
        <v>1.49</v>
      </c>
      <c r="K17" t="s">
        <v>67</v>
      </c>
    </row>
    <row r="18" spans="2:11" x14ac:dyDescent="0.3">
      <c r="B18">
        <v>3</v>
      </c>
      <c r="H18" t="s">
        <v>71</v>
      </c>
      <c r="I18" s="7">
        <v>2.6299000000000001</v>
      </c>
      <c r="J18" s="7">
        <v>2.89</v>
      </c>
      <c r="K18" t="s">
        <v>63</v>
      </c>
    </row>
    <row r="19" spans="2:11" x14ac:dyDescent="0.3">
      <c r="B19">
        <v>3</v>
      </c>
      <c r="H19" t="s">
        <v>23</v>
      </c>
      <c r="I19" s="7">
        <v>22.226999999999997</v>
      </c>
      <c r="J19" s="7">
        <v>23.9</v>
      </c>
      <c r="K19" t="s">
        <v>65</v>
      </c>
    </row>
    <row r="20" spans="2:11" x14ac:dyDescent="0.3">
      <c r="H20" t="s">
        <v>24</v>
      </c>
      <c r="I20" s="7">
        <v>23.827999999999999</v>
      </c>
      <c r="J20" s="7">
        <v>25.9</v>
      </c>
      <c r="K20" t="s">
        <v>65</v>
      </c>
    </row>
    <row r="21" spans="2:11" x14ac:dyDescent="0.3">
      <c r="H21" t="s">
        <v>72</v>
      </c>
      <c r="I21" s="7">
        <v>2.1749000000000001</v>
      </c>
      <c r="J21" s="7">
        <v>2.39</v>
      </c>
      <c r="K21" t="s">
        <v>67</v>
      </c>
    </row>
    <row r="22" spans="2:11" x14ac:dyDescent="0.3">
      <c r="H22" t="s">
        <v>26</v>
      </c>
      <c r="I22" s="7">
        <v>3.2084999999999999</v>
      </c>
      <c r="J22" s="7">
        <v>3.45</v>
      </c>
      <c r="K22" t="s">
        <v>67</v>
      </c>
    </row>
    <row r="23" spans="2:11" x14ac:dyDescent="0.3">
      <c r="H23" t="s">
        <v>19</v>
      </c>
      <c r="I23" s="7">
        <v>5.3544000000000009</v>
      </c>
      <c r="J23" s="7">
        <v>5.82</v>
      </c>
      <c r="K23" t="s">
        <v>65</v>
      </c>
    </row>
    <row r="24" spans="2:11" x14ac:dyDescent="0.3">
      <c r="H24" t="s">
        <v>28</v>
      </c>
      <c r="I24" s="7">
        <v>9.1009999999999991</v>
      </c>
      <c r="J24" s="7">
        <v>9.58</v>
      </c>
      <c r="K24" t="s">
        <v>65</v>
      </c>
    </row>
    <row r="25" spans="2:11" x14ac:dyDescent="0.3">
      <c r="H25" t="s">
        <v>25</v>
      </c>
      <c r="I25" s="7">
        <v>26.012999999999998</v>
      </c>
      <c r="J25" s="7">
        <v>29.9</v>
      </c>
      <c r="K25" t="s">
        <v>73</v>
      </c>
    </row>
    <row r="26" spans="2:11" x14ac:dyDescent="0.3">
      <c r="H26" t="s">
        <v>31</v>
      </c>
      <c r="I26" s="7">
        <v>46.664999999999999</v>
      </c>
      <c r="J26" s="7">
        <v>54.9</v>
      </c>
      <c r="K26" t="s">
        <v>73</v>
      </c>
    </row>
  </sheetData>
  <autoFilter ref="H2:K2" xr:uid="{00000000-0001-0000-0700-000000000000}">
    <sortState xmlns:xlrd2="http://schemas.microsoft.com/office/spreadsheetml/2017/richdata2" ref="H3:K26">
      <sortCondition ref="H2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Menu</vt:lpstr>
      <vt:lpstr>Despesas Fixas</vt:lpstr>
      <vt:lpstr>Controle Mercadorias</vt:lpstr>
      <vt:lpstr>Investimentos</vt:lpstr>
      <vt:lpstr>Controle de Estoque</vt:lpstr>
      <vt:lpstr>Resultados</vt:lpstr>
      <vt:lpstr>Vendas</vt:lpstr>
      <vt:lpstr>Semana1</vt:lpstr>
      <vt:lpstr>AnaliseSem1</vt:lpstr>
      <vt:lpstr>Semana2</vt:lpstr>
      <vt:lpstr>AnaliseSem2</vt:lpstr>
      <vt:lpstr>Semana3</vt:lpstr>
      <vt:lpstr>AnaliseSem3</vt:lpstr>
      <vt:lpstr>Semana4</vt:lpstr>
      <vt:lpstr>AnaliseSem4</vt:lpstr>
      <vt:lpstr>Semana5</vt:lpstr>
      <vt:lpstr>AnaliseSem5</vt:lpstr>
      <vt:lpstr>cálculos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Kiko</cp:lastModifiedBy>
  <dcterms:created xsi:type="dcterms:W3CDTF">2015-06-24T19:21:22Z</dcterms:created>
  <dcterms:modified xsi:type="dcterms:W3CDTF">2023-06-10T18:26:18Z</dcterms:modified>
</cp:coreProperties>
</file>